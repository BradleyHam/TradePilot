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b4bda76f847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12bbc6cc6e4a80"/>
    <x:sheet xmlns:r="http://schemas.openxmlformats.org/officeDocument/2006/relationships" name="GST Ledger" sheetId="2" r:id="R9717afdf1afc492b"/>
    <x:sheet xmlns:r="http://schemas.openxmlformats.org/officeDocument/2006/relationships" name="Bank Review" sheetId="3" r:id="Ree24d013b8af441e"/>
    <x:sheet xmlns:r="http://schemas.openxmlformats.org/officeDocument/2006/relationships" name="Key Reviews" sheetId="4" r:id="R6bbd6d8122974324"/>
    <x:sheet xmlns:r="http://schemas.openxmlformats.org/officeDocument/2006/relationships" name="Checks &amp; Sources" sheetId="5" r:id="Rd0caee8b8f48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$#,##0.00;[Red]-$#,##0.00"/>
    <x:numFmt numFmtId="202" formatCode="$#,##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i/>
      <x:sz val="11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6B8E"/>
      </x:patternFill>
    </x:fill>
    <x:fill>
      <x:patternFill patternType="solid">
        <x:fgColor rgb="FFEAF3F7"/>
      </x:patternFill>
    </x:fill>
    <x:fill>
      <x:patternFill patternType="solid">
        <x:fgColor rgb="FFF7F9FB"/>
      </x:patternFill>
    </x:fill>
    <x:fill>
      <x:patternFill patternType="solid">
        <x:fgColor rgb="FFFFF1CC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8A1C1C"/>
      </x:font>
      <x:fill>
        <x:patternFill patternType="solid">
          <x:bgColor rgb="FFFCE4E4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0ead5103b411d" /><Relationship Type="http://schemas.openxmlformats.org/officeDocument/2006/relationships/theme" Target="/xl/theme/theme1.xml" Id="R4b3288b715f648d4" /><Relationship Type="http://schemas.openxmlformats.org/officeDocument/2006/relationships/sharedStrings" Target="/xl/sharedStrings.xml" Id="R3263a29e7c1a4f1a" /><Relationship Type="http://schemas.openxmlformats.org/officeDocument/2006/relationships/worksheet" Target="/xl/worksheets/sheet1.xml" Id="Rca12bbc6cc6e4a80" /><Relationship Type="http://schemas.openxmlformats.org/officeDocument/2006/relationships/worksheet" Target="/xl/worksheets/sheet2.xml" Id="R9717afdf1afc492b" /><Relationship Type="http://schemas.openxmlformats.org/officeDocument/2006/relationships/worksheet" Target="/xl/worksheets/sheet3.xml" Id="Ree24d013b8af441e" /><Relationship Type="http://schemas.openxmlformats.org/officeDocument/2006/relationships/worksheet" Target="/xl/worksheets/sheet4.xml" Id="R6bbd6d8122974324" /><Relationship Type="http://schemas.openxmlformats.org/officeDocument/2006/relationships/worksheet" Target="/xl/worksheets/sheet5.xml" Id="Rd0caee8b8f4843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</x:cols>
  <x:sheetData>
    <x:row r="1" ht="32" customHeight="1">
      <x:c r="A1" s="3" t="str">
        <x:v>GST position · Lakeside Painting Ltd</x:v>
      </x:c>
      <x:c r="B1" s="3" t="str">
        <x:v>GST position · Lakeside Painting Ltd</x:v>
      </x:c>
      <x:c r="C1" s="3" t="str">
        <x:v>GST position · Lakeside Painting Ltd</x:v>
      </x:c>
      <x:c r="D1" s="3" t="str">
        <x:v>GST position · Lakeside Painting Ltd</x:v>
      </x:c>
      <x:c r="E1" s="3" t="str">
        <x:v>GST position · Lakeside Painting Ltd</x:v>
      </x:c>
      <x:c r="F1" s="3" t="str">
        <x:v>GST position · Lakeside Painting Ltd</x:v>
      </x:c>
      <x:c r="G1" s="3" t="str">
        <x:v>GST position · Lakeside Painting Ltd</x:v>
      </x:c>
      <x:c r="H1" s="3" t="str">
        <x:v>GST position · Lakeside Painting Ltd</x:v>
      </x:c>
    </x:row>
    <x:row r="2" ht="34" customHeight="1">
      <x:c r="A2" s="14" t="str">
        <x:v>Provisional reconciliation from BNZ transactions and TradePilot. Nothing has been filed with IRD. Change Y/N in the GST Ledger to test review items.</x:v>
      </x:c>
      <x:c r="B2" s="14" t="str">
        <x:v>Provisional reconciliation from BNZ transactions and TradePilot. Nothing has been filed with IRD. Change Y/N in the GST Ledger to test review items.</x:v>
      </x:c>
      <x:c r="C2" s="14" t="str">
        <x:v>Provisional reconciliation from BNZ transactions and TradePilot. Nothing has been filed with IRD. Change Y/N in the GST Ledger to test review items.</x:v>
      </x:c>
      <x:c r="D2" s="14" t="str">
        <x:v>Provisional reconciliation from BNZ transactions and TradePilot. Nothing has been filed with IRD. Change Y/N in the GST Ledger to test review items.</x:v>
      </x:c>
      <x:c r="E2" s="14" t="str">
        <x:v>Provisional reconciliation from BNZ transactions and TradePilot. Nothing has been filed with IRD. Change Y/N in the GST Ledger to test review items.</x:v>
      </x:c>
      <x:c r="F2" s="14" t="str">
        <x:v>Provisional reconciliation from BNZ transactions and TradePilot. Nothing has been filed with IRD. Change Y/N in the GST Ledger to test review items.</x:v>
      </x:c>
      <x:c r="G2" s="14" t="str">
        <x:v>Provisional reconciliation from BNZ transactions and TradePilot. Nothing has been filed with IRD. Change Y/N in the GST Ledger to test review items.</x:v>
      </x:c>
      <x:c r="H2" s="14" t="str">
        <x:v>Provisional reconciliation from BNZ transactions and TradePilot. Nothing has been filed with IRD. Change Y/N in the GST Ledger to test review items.</x:v>
      </x:c>
    </x:row>
    <x:row r="4">
      <x:c r="A4" s="7" t="str">
        <x:v>Basis</x:v>
      </x:c>
      <x:c r="B4" s="7" t="str">
        <x:v>Return period</x:v>
      </x:c>
      <x:c r="C4" s="7" t="str">
        <x:v>Sales incl GST</x:v>
      </x:c>
      <x:c r="D4" s="7" t="str">
        <x:v>Output GST</x:v>
      </x:c>
      <x:c r="E4" s="7" t="str">
        <x:v>Purchases incl GST</x:v>
      </x:c>
      <x:c r="F4" s="7" t="str">
        <x:v>Input GST</x:v>
      </x:c>
      <x:c r="G4" s="7" t="str">
        <x:v>Net GST payable</x:v>
      </x:c>
      <x:c r="H4" s="7" t="str">
        <x:v>Status</x:v>
      </x:c>
    </x:row>
    <x:row r="5">
      <x:c r="A5" s="9" t="str">
        <x:v>Invoice basis</x:v>
      </x:c>
      <x:c r="B5" s="9" t="str">
        <x:v>19-31 Jan 2026</x:v>
      </x:c>
      <x:c r="C5" s="11" t="n">
        <x:f>SUMIFS('GST Ledger'!$G$3:$G$602,'GST Ledger'!$A$3:$A$602,$A5,'GST Ledger'!$B$3:$B$602,$B5,'GST Ledger'!$D$3:$D$602,"Sale",'GST Ledger'!$I$3:$I$602,"Y")</x:f>
        <x:v>5597.5</x:v>
      </x:c>
      <x:c r="D5" s="11" t="n">
        <x:f>SUMIFS('GST Ledger'!$H$3:$H$602,'GST Ledger'!$A$3:$A$602,$A5,'GST Ledger'!$B$3:$B$602,$B5,'GST Ledger'!$D$3:$D$602,"Sale",'GST Ledger'!$I$3:$I$602,"Y")</x:f>
        <x:v>730.11</x:v>
      </x:c>
      <x:c r="E5" s="11" t="n">
        <x:f>SUMIFS('GST Ledger'!$G$3:$G$602,'GST Ledger'!$A$3:$A$602,$A5,'GST Ledger'!$B$3:$B$602,$B5,'GST Ledger'!$D$3:$D$602,"Purchase",'GST Ledger'!$I$3:$I$602,"Y")</x:f>
        <x:v>1350.18</x:v>
      </x:c>
      <x:c r="F5" s="11" t="n">
        <x:f>SUMIFS('GST Ledger'!$H$3:$H$602,'GST Ledger'!$A$3:$A$602,$A5,'GST Ledger'!$B$3:$B$602,$B5,'GST Ledger'!$D$3:$D$602,"Purchase",'GST Ledger'!$I$3:$I$602,"Y")</x:f>
        <x:v>176.10000000000002</x:v>
      </x:c>
      <x:c r="G5" s="11" t="n">
        <x:f>D5-F5</x:f>
        <x:v>554.01</x:v>
      </x:c>
      <x:c r="H5" s="9" t="str">
        <x:v>OVERDUE</x:v>
      </x:c>
    </x:row>
    <x:row r="6">
      <x:c r="A6" s="9" t="str">
        <x:v>Invoice basis</x:v>
      </x:c>
      <x:c r="B6" s="9" t="str">
        <x:v>1 Feb-31 Jul 2026</x:v>
      </x:c>
      <x:c r="C6" s="11" t="n">
        <x:f>SUMIFS('GST Ledger'!$G$3:$G$602,'GST Ledger'!$A$3:$A$602,$A6,'GST Ledger'!$B$3:$B$602,$B6,'GST Ledger'!$D$3:$D$602,"Sale",'GST Ledger'!$I$3:$I$602,"Y")</x:f>
        <x:v>70459.93000000001</x:v>
      </x:c>
      <x:c r="D6" s="11" t="n">
        <x:f>SUMIFS('GST Ledger'!$H$3:$H$602,'GST Ledger'!$A$3:$A$602,$A6,'GST Ledger'!$B$3:$B$602,$B6,'GST Ledger'!$D$3:$D$602,"Sale",'GST Ledger'!$I$3:$I$602,"Y")</x:f>
        <x:v>9190.43</x:v>
      </x:c>
      <x:c r="E6" s="11" t="n">
        <x:f>SUMIFS('GST Ledger'!$G$3:$G$602,'GST Ledger'!$A$3:$A$602,$A6,'GST Ledger'!$B$3:$B$602,$B6,'GST Ledger'!$D$3:$D$602,"Purchase",'GST Ledger'!$I$3:$I$602,"Y")</x:f>
        <x:v>41848.890000000014</x:v>
      </x:c>
      <x:c r="F6" s="11" t="n">
        <x:f>SUMIFS('GST Ledger'!$H$3:$H$602,'GST Ledger'!$A$3:$A$602,$A6,'GST Ledger'!$B$3:$B$602,$B6,'GST Ledger'!$D$3:$D$602,"Purchase",'GST Ledger'!$I$3:$I$602,"Y")</x:f>
        <x:v>5450.019999999999</x:v>
      </x:c>
      <x:c r="G6" s="11" t="n">
        <x:f>D6-F6</x:f>
        <x:v>3740.4100000000017</x:v>
      </x:c>
      <x:c r="H6" s="9" t="str">
        <x:v>Due 28 Aug 2026</x:v>
      </x:c>
    </x:row>
    <x:row r="7">
      <x:c r="A7" s="9" t="str">
        <x:v>Payments basis</x:v>
      </x:c>
      <x:c r="B7" s="9" t="str">
        <x:v>19-31 Jan 2026</x:v>
      </x:c>
      <x:c r="C7" s="11" t="n">
        <x:f>SUMIFS('GST Ledger'!$G$3:$G$602,'GST Ledger'!$A$3:$A$602,$A7,'GST Ledger'!$B$3:$B$602,$B7,'GST Ledger'!$D$3:$D$602,"Sale",'GST Ledger'!$I$3:$I$602,"Y")</x:f>
        <x:v>5252.450000000001</x:v>
      </x:c>
      <x:c r="D7" s="11" t="n">
        <x:f>SUMIFS('GST Ledger'!$H$3:$H$602,'GST Ledger'!$A$3:$A$602,$A7,'GST Ledger'!$B$3:$B$602,$B7,'GST Ledger'!$D$3:$D$602,"Sale",'GST Ledger'!$I$3:$I$602,"Y")</x:f>
        <x:v>685.1</x:v>
      </x:c>
      <x:c r="E7" s="11" t="n">
        <x:f>SUMIFS('GST Ledger'!$G$3:$G$602,'GST Ledger'!$A$3:$A$602,$A7,'GST Ledger'!$B$3:$B$602,$B7,'GST Ledger'!$D$3:$D$602,"Purchase",'GST Ledger'!$I$3:$I$602,"Y")</x:f>
        <x:v>1350.18</x:v>
      </x:c>
      <x:c r="F7" s="11" t="n">
        <x:f>SUMIFS('GST Ledger'!$H$3:$H$602,'GST Ledger'!$A$3:$A$602,$A7,'GST Ledger'!$B$3:$B$602,$B7,'GST Ledger'!$D$3:$D$602,"Purchase",'GST Ledger'!$I$3:$I$602,"Y")</x:f>
        <x:v>176.10000000000002</x:v>
      </x:c>
      <x:c r="G7" s="11" t="n">
        <x:f>D7-F7</x:f>
        <x:v>509</x:v>
      </x:c>
      <x:c r="H7" s="9" t="str">
        <x:v>Comparison only</x:v>
      </x:c>
    </x:row>
    <x:row r="8">
      <x:c r="A8" s="9" t="str">
        <x:v>Payments basis</x:v>
      </x:c>
      <x:c r="B8" s="9" t="str">
        <x:v>1 Feb-31 Jul 2026</x:v>
      </x:c>
      <x:c r="C8" s="11" t="n">
        <x:f>SUMIFS('GST Ledger'!$G$3:$G$602,'GST Ledger'!$A$3:$A$602,$A8,'GST Ledger'!$B$3:$B$602,$B8,'GST Ledger'!$D$3:$D$602,"Sale",'GST Ledger'!$I$3:$I$602,"Y")</x:f>
        <x:v>71186.88</x:v>
      </x:c>
      <x:c r="D8" s="11" t="n">
        <x:f>SUMIFS('GST Ledger'!$H$3:$H$602,'GST Ledger'!$A$3:$A$602,$A8,'GST Ledger'!$B$3:$B$602,$B8,'GST Ledger'!$D$3:$D$602,"Sale",'GST Ledger'!$I$3:$I$602,"Y")</x:f>
        <x:v>9285.250000000002</x:v>
      </x:c>
      <x:c r="E8" s="11" t="n">
        <x:f>SUMIFS('GST Ledger'!$G$3:$G$602,'GST Ledger'!$A$3:$A$602,$A8,'GST Ledger'!$B$3:$B$602,$B8,'GST Ledger'!$D$3:$D$602,"Purchase",'GST Ledger'!$I$3:$I$602,"Y")</x:f>
        <x:v>38984.97000000001</x:v>
      </x:c>
      <x:c r="F8" s="11" t="n">
        <x:f>SUMIFS('GST Ledger'!$H$3:$H$602,'GST Ledger'!$A$3:$A$602,$A8,'GST Ledger'!$B$3:$B$602,$B8,'GST Ledger'!$D$3:$D$602,"Purchase",'GST Ledger'!$I$3:$I$602,"Y")</x:f>
        <x:v>5084.999999999999</x:v>
      </x:c>
      <x:c r="G8" s="11" t="n">
        <x:f>D8-F8</x:f>
        <x:v>4200.250000000003</x:v>
      </x:c>
      <x:c r="H8" s="9" t="str">
        <x:v>Comparison only</x:v>
      </x:c>
    </x:row>
    <x:row r="10">
      <x:c r="A10" s="7" t="str">
        <x:v>Basis</x:v>
      </x:c>
      <x:c r="B10" s="7" t="str">
        <x:v>Combined sales</x:v>
      </x:c>
      <x:c r="C10" s="7" t="str">
        <x:v>Combined output GST</x:v>
      </x:c>
      <x:c r="D10" s="7" t="str">
        <x:v>Combined purchases</x:v>
      </x:c>
      <x:c r="E10" s="7" t="str">
        <x:v>Combined input GST</x:v>
      </x:c>
      <x:c r="F10" s="7" t="str">
        <x:v>Combined net payable</x:v>
      </x:c>
      <x:c r="G10" s="7" t="str">
        <x:v>Difference vs invoice</x:v>
      </x:c>
    </x:row>
    <x:row r="11">
      <x:c r="A11" s="9" t="str">
        <x:v>Invoice basis</x:v>
      </x:c>
      <x:c r="B11" s="11" t="n">
        <x:f>SUM(C5:C6)</x:f>
        <x:v>76057.43000000001</x:v>
      </x:c>
      <x:c r="C11" s="11" t="n">
        <x:f>SUM(D5:D6)</x:f>
        <x:v>9920.54</x:v>
      </x:c>
      <x:c r="D11" s="11" t="n">
        <x:f>SUM(E5:E6)</x:f>
        <x:v>43199.070000000014</x:v>
      </x:c>
      <x:c r="E11" s="11" t="n">
        <x:f>SUM(F5:F6)</x:f>
        <x:v>5626.119999999999</x:v>
      </x:c>
      <x:c r="F11" s="11" t="n">
        <x:f>SUM(G5:G6)</x:f>
        <x:v>4294.420000000002</x:v>
      </x:c>
      <x:c r="G11" s="11" t="n">
        <x:f>0</x:f>
        <x:v>0</x:v>
      </x:c>
    </x:row>
    <x:row r="12">
      <x:c r="A12" s="9" t="str">
        <x:v>Payments basis</x:v>
      </x:c>
      <x:c r="B12" s="11" t="n">
        <x:f>SUM(C7:C8)</x:f>
        <x:v>76439.33</x:v>
      </x:c>
      <x:c r="C12" s="11" t="n">
        <x:f>SUM(D7:D8)</x:f>
        <x:v>9970.350000000002</x:v>
      </x:c>
      <x:c r="D12" s="11" t="n">
        <x:f>SUM(E7:E8)</x:f>
        <x:v>40335.15000000001</x:v>
      </x:c>
      <x:c r="E12" s="11" t="n">
        <x:f>SUM(F7:F8)</x:f>
        <x:v>5261.099999999999</x:v>
      </x:c>
      <x:c r="F12" s="11" t="n">
        <x:f>SUM(G7:G8)</x:f>
        <x:v>4709.250000000003</x:v>
      </x:c>
      <x:c r="G12" s="11" t="n">
        <x:f>F12-F11</x:f>
        <x:v>414.83000000000084</x:v>
      </x:c>
    </x:row>
    <x:row r="14">
      <x:c r="A14" s="15" t="str">
        <x:v>What this means right now</x:v>
      </x:c>
      <x:c r="B14" s="15" t="str">
        <x:v>What this means right now</x:v>
      </x:c>
      <x:c r="C14" s="15" t="str">
        <x:v>What this means right now</x:v>
      </x:c>
      <x:c r="D14" s="15" t="str">
        <x:v>What this means right now</x:v>
      </x:c>
      <x:c r="E14" s="15" t="str">
        <x:v>What this means right now</x:v>
      </x:c>
      <x:c r="F14" s="15" t="str">
        <x:v>What this means right now</x:v>
      </x:c>
      <x:c r="G14" s="15" t="str">
        <x:v>What this means right now</x:v>
      </x:c>
      <x:c r="H14" s="15" t="str">
        <x:v>What this means right now</x:v>
      </x:c>
    </x:row>
    <x:row r="15" ht="28" customHeight="1">
      <x:c r="A15" s="17" t="str">
        <x:v>• Current legal setting in myIR: invoice basis, six-monthly. The January start-period return is overdue; the February-July return is due 28 August 2026.</x:v>
      </x:c>
      <x:c r="B15" s="17"/>
      <x:c r="C15" s="17"/>
      <x:c r="D15" s="17"/>
      <x:c r="E15" s="17"/>
      <x:c r="F15" s="17"/>
      <x:c r="G15" s="17"/>
      <x:c r="H15" s="17"/>
    </x:row>
    <x:row r="16" ht="28" customHeight="1">
      <x:c r="A16" s="17" t="str">
        <x:v>• Payments-basis figures are a comparison until IRD confirms the requested backdating/change.</x:v>
      </x:c>
      <x:c r="B16" s="17"/>
      <x:c r="C16" s="17"/>
      <x:c r="D16" s="17"/>
      <x:c r="E16" s="17"/>
      <x:c r="F16" s="17"/>
      <x:c r="G16" s="17"/>
      <x:c r="H16" s="17"/>
    </x:row>
    <x:row r="17" ht="28" customHeight="1">
      <x:c r="A17" s="17" t="str">
        <x:v>• Bank statements and TradePilot can be combined as evidence, but larger or unclear purchases still need enough supplier, date, description and GST information.</x:v>
      </x:c>
      <x:c r="B17" s="17"/>
      <x:c r="C17" s="17"/>
      <x:c r="D17" s="17"/>
      <x:c r="E17" s="17"/>
      <x:c r="F17" s="17"/>
      <x:c r="G17" s="17"/>
      <x:c r="H17" s="17"/>
    </x:row>
    <x:row r="18" ht="28" customHeight="1">
      <x:c r="A18" s="17" t="str">
        <x:v>• The Key Reviews sheet shows the few answers that can materially change the result; there is no need to attach every invoice to this workbook or to the GST return.</x:v>
      </x:c>
      <x:c r="B18" s="17"/>
      <x:c r="C18" s="17"/>
      <x:c r="D18" s="17"/>
      <x:c r="E18" s="17"/>
      <x:c r="F18" s="17"/>
      <x:c r="G18" s="17"/>
      <x:c r="H18" s="17"/>
    </x:row>
  </x:sheetData>
  <x:mergeCells>
    <x:mergeCell ref="A1:H1"/>
    <x:mergeCell ref="A2:H2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4.55999755859375" hidden="0" customWidth="1"/>
    <x:col min="2" max="2" width="74.55999755859375" hidden="0" customWidth="1"/>
    <x:col min="3" max="3" width="74.55999755859375" hidden="0" customWidth="1"/>
    <x:col min="4" max="4" width="74.55999755859375" hidden="0" customWidth="1"/>
    <x:col min="5" max="5" width="74.55999755859375" hidden="0" customWidth="1"/>
    <x:col min="6" max="6" width="38" hidden="0" customWidth="1"/>
    <x:col min="7" max="7" width="74.55999755859375" hidden="0" customWidth="1"/>
    <x:col min="8" max="8" width="74.55999755859375" hidden="0" customWidth="1"/>
    <x:col min="9" max="9" width="74.55999755859375" hidden="0" customWidth="1"/>
    <x:col min="10" max="10" width="74.55999755859375" hidden="0" customWidth="1"/>
    <x:col min="11" max="11" width="34" hidden="0" customWidth="1"/>
    <x:col min="12" max="12" width="34" hidden="0" customWidth="1"/>
    <x:col min="13" max="13" width="20" hidden="0" customWidth="1"/>
  </x:cols>
  <x:sheetData>
    <x:row r="1" ht="32" customHeight="1">
      <x:c r="A1" s="3" t="str">
        <x:v>Lakeside Painting GST Ledger · 19 January to 31 July 2026</x:v>
      </x:c>
      <x:c r="B1" s="3" t="str">
        <x:v>Lakeside Painting GST Ledger · 19 January to 31 July 2026</x:v>
      </x:c>
      <x:c r="C1" s="3" t="str">
        <x:v>Lakeside Painting GST Ledger · 19 January to 31 July 2026</x:v>
      </x:c>
      <x:c r="D1" s="3" t="str">
        <x:v>Lakeside Painting GST Ledger · 19 January to 31 July 2026</x:v>
      </x:c>
      <x:c r="E1" s="3" t="str">
        <x:v>Lakeside Painting GST Ledger · 19 January to 31 July 2026</x:v>
      </x:c>
      <x:c r="F1" s="3" t="str">
        <x:v>Lakeside Painting GST Ledger · 19 January to 31 July 2026</x:v>
      </x:c>
      <x:c r="G1" s="3" t="str">
        <x:v>Lakeside Painting GST Ledger · 19 January to 31 July 2026</x:v>
      </x:c>
      <x:c r="H1" s="3" t="str">
        <x:v>Lakeside Painting GST Ledger · 19 January to 31 July 2026</x:v>
      </x:c>
      <x:c r="I1" s="3" t="str">
        <x:v>Lakeside Painting GST Ledger · 19 January to 31 July 2026</x:v>
      </x:c>
      <x:c r="J1" s="3" t="str">
        <x:v>Lakeside Painting GST Ledger · 19 January to 31 July 2026</x:v>
      </x:c>
      <x:c r="K1" s="3" t="str">
        <x:v>Lakeside Painting GST Ledger · 19 January to 31 July 2026</x:v>
      </x:c>
      <x:c r="L1" s="3" t="str">
        <x:v>Lakeside Painting GST Ledger · 19 January to 31 July 2026</x:v>
      </x:c>
      <x:c r="M1" s="3" t="str">
        <x:v>Lakeside Painting GST Ledger · 19 January to 31 July 2026</x:v>
      </x:c>
    </x:row>
    <x:row r="2">
      <x:c r="A2" s="7" t="str">
        <x:v>Scenario</x:v>
      </x:c>
      <x:c r="B2" s="7" t="str">
        <x:v>Return period</x:v>
      </x:c>
      <x:c r="C2" s="7" t="str">
        <x:v>Date</x:v>
      </x:c>
      <x:c r="D2" s="7" t="str">
        <x:v>Flow</x:v>
      </x:c>
      <x:c r="E2" s="7" t="str">
        <x:v>Source</x:v>
      </x:c>
      <x:c r="F2" s="7" t="str">
        <x:v>Description</x:v>
      </x:c>
      <x:c r="G2" s="7" t="str">
        <x:v>Gross incl GST</x:v>
      </x:c>
      <x:c r="H2" s="7" t="str">
        <x:v>GST amount</x:v>
      </x:c>
      <x:c r="I2" s="7" t="str">
        <x:v>Include?</x:v>
      </x:c>
      <x:c r="J2" s="7" t="str">
        <x:v>Confidence</x:v>
      </x:c>
      <x:c r="K2" s="7" t="str">
        <x:v>Evidence held</x:v>
      </x:c>
      <x:c r="L2" s="7" t="str">
        <x:v>Review note</x:v>
      </x:c>
      <x:c r="M2" s="7" t="str">
        <x:v>Reference</x:v>
      </x:c>
    </x:row>
    <x:row r="3" ht="15" hidden="0" customHeight="1">
      <x:c r="A3" s="9" t="str">
        <x:v>Invoice basis</x:v>
      </x:c>
      <x:c r="B3" s="9" t="str">
        <x:v>19-31 Jan 2026</x:v>
      </x:c>
      <x:c r="C3" s="10" t="n">
        <x:v>46040.958333333336</x:v>
      </x:c>
      <x:c r="D3" s="9" t="str">
        <x:v>Purchase</x:v>
      </x:c>
      <x:c r="E3" s="9" t="str">
        <x:v>BNZ bank (pre-import)</x:v>
      </x:c>
      <x:c r="F3" s="9" t="str">
        <x:v>THE WAREHOUSE 212 WA · 6032 · 434667191312</x:v>
      </x:c>
      <x:c r="G3" s="11" t="n">
        <x:v>89</x:v>
      </x:c>
      <x:c r="H3" s="11" t="n">
        <x:v>11.61</x:v>
      </x:c>
      <x:c r="I3" s="9" t="str">
        <x:v>Y</x:v>
      </x:c>
      <x:c r="J3" s="9" t="str">
        <x:v>Medium</x:v>
      </x:c>
      <x:c r="K3" s="9" t="str">
        <x:v>Bank + TradePilot materials/tool notes</x:v>
      </x:c>
      <x:c r="L3" s="9" t="str">
        <x:v>Warehouse purchase treated as job materials/tools; retain the TradePilot description.</x:v>
      </x:c>
      <x:c r="M3" s="9" t="str">
        <x:v>hrxxvv</x:v>
      </x:c>
    </x:row>
    <x:row r="4" ht="15" hidden="0" customHeight="1">
      <x:c r="A4" s="9" t="str">
        <x:v>Invoice basis</x:v>
      </x:c>
      <x:c r="B4" s="9" t="str">
        <x:v>19-31 Jan 2026</x:v>
      </x:c>
      <x:c r="C4" s="10" t="n">
        <x:v>46040.958333333336</x:v>
      </x:c>
      <x:c r="D4" s="9" t="str">
        <x:v>Purchase</x:v>
      </x:c>
      <x:c r="E4" s="9" t="str">
        <x:v>BNZ bank (pre-import)</x:v>
      </x:c>
      <x:c r="F4" s="9" t="str">
        <x:v>New World Three Park · 6032 · 420549191207</x:v>
      </x:c>
      <x:c r="G4" s="11" t="n">
        <x:v>53.94</x:v>
      </x:c>
      <x:c r="H4" s="11" t="n">
        <x:v>0</x:v>
      </x:c>
      <x:c r="I4" s="9" t="str">
        <x:v>N</x:v>
      </x:c>
      <x:c r="J4" s="9" t="str">
        <x:v>High</x:v>
      </x:c>
      <x:c r="K4" s="9" t="str">
        <x:v>Bank description</x:v>
      </x:c>
      <x:c r="L4" s="9" t="str">
        <x:v>Personal, transfer, tax, cash withdrawal, food or entertainment; no GST claim.</x:v>
      </x:c>
      <x:c r="M4" s="9" t="str">
        <x:v>7swp19</x:v>
      </x:c>
    </x:row>
    <x:row r="5" ht="15" hidden="0" customHeight="1">
      <x:c r="A5" s="9" t="str">
        <x:v>Invoice basis</x:v>
      </x:c>
      <x:c r="B5" s="9" t="str">
        <x:v>19-31 Jan 2026</x:v>
      </x:c>
      <x:c r="C5" s="10" t="n">
        <x:v>46040.958333333336</x:v>
      </x:c>
      <x:c r="D5" s="9" t="str">
        <x:v>Purchase</x:v>
      </x:c>
      <x:c r="E5" s="9" t="str">
        <x:v>BNZ bank (pre-import)</x:v>
      </x:c>
      <x:c r="F5" s="9" t="str">
        <x:v>Resene - Wanaka 087 · 6032 · 420549191519</x:v>
      </x:c>
      <x:c r="G5" s="11" t="n">
        <x:v>203.2</x:v>
      </x:c>
      <x:c r="H5" s="11" t="n">
        <x:v>26.5</x:v>
      </x:c>
      <x:c r="I5" s="9" t="str">
        <x:v>Y</x:v>
      </x:c>
      <x:c r="J5" s="9" t="str">
        <x:v>High</x:v>
      </x:c>
      <x:c r="K5" s="9" t="str">
        <x:v>Bank + TradePilot</x:v>
      </x:c>
      <x:c r="L5" s="9" t="str">
        <x:v>Business purchase.</x:v>
      </x:c>
      <x:c r="M5" s="9" t="str">
        <x:v>q4as50</x:v>
      </x:c>
    </x:row>
    <x:row r="6" ht="15" hidden="0" customHeight="1">
      <x:c r="A6" s="9" t="str">
        <x:v>Invoice basis</x:v>
      </x:c>
      <x:c r="B6" s="9" t="str">
        <x:v>19-31 Jan 2026</x:v>
      </x:c>
      <x:c r="C6" s="10" t="n">
        <x:v>46040.958333333336</x:v>
      </x:c>
      <x:c r="D6" s="9" t="str">
        <x:v>Purchase</x:v>
      </x:c>
      <x:c r="E6" s="9" t="str">
        <x:v>BNZ bank (pre-import)</x:v>
      </x:c>
      <x:c r="F6" s="9" t="str">
        <x:v>BENONI CAFE · 6032 · 437733131624</x:v>
      </x:c>
      <x:c r="G6" s="11" t="n">
        <x:v>13.05</x:v>
      </x:c>
      <x:c r="H6" s="11" t="n">
        <x:v>0</x:v>
      </x:c>
      <x:c r="I6" s="9" t="str">
        <x:v>N</x:v>
      </x:c>
      <x:c r="J6" s="9" t="str">
        <x:v>High</x:v>
      </x:c>
      <x:c r="K6" s="9" t="str">
        <x:v>Bank description</x:v>
      </x:c>
      <x:c r="L6" s="9" t="str">
        <x:v>Personal, transfer, tax, cash withdrawal, food or entertainment; no GST claim.</x:v>
      </x:c>
      <x:c r="M6" s="9" t="str">
        <x:v>njj8sp</x:v>
      </x:c>
    </x:row>
    <x:row r="7" ht="15" hidden="0" customHeight="1">
      <x:c r="A7" s="9" t="str">
        <x:v>Invoice basis</x:v>
      </x:c>
      <x:c r="B7" s="9" t="str">
        <x:v>19-31 Jan 2026</x:v>
      </x:c>
      <x:c r="C7" s="10" t="n">
        <x:v>46040.958333333336</x:v>
      </x:c>
      <x:c r="D7" s="9" t="str">
        <x:v>Purchase</x:v>
      </x:c>
      <x:c r="E7" s="9" t="str">
        <x:v>BNZ bank (pre-import)</x:v>
      </x:c>
      <x:c r="F7" s="9" t="str">
        <x:v>THE WAREHOUSE 212 WA · 6032 · 434667191240</x:v>
      </x:c>
      <x:c r="G7" s="11" t="n">
        <x:v>10</x:v>
      </x:c>
      <x:c r="H7" s="11" t="n">
        <x:v>1.3</x:v>
      </x:c>
      <x:c r="I7" s="9" t="str">
        <x:v>Y</x:v>
      </x:c>
      <x:c r="J7" s="9" t="str">
        <x:v>Medium</x:v>
      </x:c>
      <x:c r="K7" s="9" t="str">
        <x:v>Bank + TradePilot materials/tool notes</x:v>
      </x:c>
      <x:c r="L7" s="9" t="str">
        <x:v>Warehouse purchase treated as job materials/tools; retain the TradePilot description.</x:v>
      </x:c>
      <x:c r="M7" s="9" t="str">
        <x:v>k119mj</x:v>
      </x:c>
    </x:row>
    <x:row r="8" ht="15" hidden="0" customHeight="1">
      <x:c r="A8" s="9" t="str">
        <x:v>Invoice basis</x:v>
      </x:c>
      <x:c r="B8" s="9" t="str">
        <x:v>19-31 Jan 2026</x:v>
      </x:c>
      <x:c r="C8" s="10" t="n">
        <x:v>46040.958333333336</x:v>
      </x:c>
      <x:c r="D8" s="9" t="str">
        <x:v>Purchase</x:v>
      </x:c>
      <x:c r="E8" s="9" t="str">
        <x:v>BNZ bank (pre-import)</x:v>
      </x:c>
      <x:c r="F8" s="9" t="str">
        <x:v>THE WAREHOUSE 212 WA · 6032 · 434667191241</x:v>
      </x:c>
      <x:c r="G8" s="11" t="n">
        <x:v>24</x:v>
      </x:c>
      <x:c r="H8" s="11" t="n">
        <x:v>3.13</x:v>
      </x:c>
      <x:c r="I8" s="9" t="str">
        <x:v>Y</x:v>
      </x:c>
      <x:c r="J8" s="9" t="str">
        <x:v>Medium</x:v>
      </x:c>
      <x:c r="K8" s="9" t="str">
        <x:v>Bank + TradePilot materials/tool notes</x:v>
      </x:c>
      <x:c r="L8" s="9" t="str">
        <x:v>Warehouse purchase treated as job materials/tools; retain the TradePilot description.</x:v>
      </x:c>
      <x:c r="M8" s="9" t="str">
        <x:v>ntp4yp</x:v>
      </x:c>
    </x:row>
    <x:row r="9" ht="15" hidden="0" customHeight="1">
      <x:c r="A9" s="9" t="str">
        <x:v>Invoice basis</x:v>
      </x:c>
      <x:c r="B9" s="9" t="str">
        <x:v>19-31 Jan 2026</x:v>
      </x:c>
      <x:c r="C9" s="10" t="n">
        <x:v>46040.958333333336</x:v>
      </x:c>
      <x:c r="D9" s="9" t="str">
        <x:v>Sale</x:v>
      </x:c>
      <x:c r="E9" s="9" t="str">
        <x:v>TradePilot invoice</x:v>
      </x:c>
      <x:c r="F9" s="9" t="str">
        <x:v>INV-J2 · deposit · Pass-2 backfill: deposit detected</x:v>
      </x:c>
      <x:c r="G9" s="11" t="n">
        <x:v>637.1</x:v>
      </x:c>
      <x:c r="H9" s="11" t="n">
        <x:v>83.1</x:v>
      </x:c>
      <x:c r="I9" s="9" t="str">
        <x:v>Y</x:v>
      </x:c>
      <x:c r="J9" s="9" t="str">
        <x:v>Medium</x:v>
      </x:c>
      <x:c r="K9" s="9" t="str">
        <x:v>TradePilot invoice record</x:v>
      </x:c>
      <x:c r="L9" s="9" t="str">
        <x:v>Invoice record used; payment date is earlier where applicable.</x:v>
      </x:c>
      <x:c r="M9" s="9" t="str">
        <x:v>INV-J2</x:v>
      </x:c>
    </x:row>
    <x:row r="10" ht="15" hidden="0" customHeight="1">
      <x:c r="A10" s="9" t="str">
        <x:v>Invoice basis</x:v>
      </x:c>
      <x:c r="B10" s="9" t="str">
        <x:v>19-31 Jan 2026</x:v>
      </x:c>
      <x:c r="C10" s="10" t="n">
        <x:v>46041.958333333336</x:v>
      </x:c>
      <x:c r="D10" s="9" t="str">
        <x:v>Purchase</x:v>
      </x:c>
      <x:c r="E10" s="9" t="str">
        <x:v>BNZ bank (pre-import)</x:v>
      </x:c>
      <x:c r="F10" s="9" t="str">
        <x:v>MITRE 10 MEGA WANAKA · 6032 · 434667201326</x:v>
      </x:c>
      <x:c r="G10" s="11" t="n">
        <x:v>196.98</x:v>
      </x:c>
      <x:c r="H10" s="11" t="n">
        <x:v>25.69</x:v>
      </x:c>
      <x:c r="I10" s="9" t="str">
        <x:v>Y</x:v>
      </x:c>
      <x:c r="J10" s="9" t="str">
        <x:v>High</x:v>
      </x:c>
      <x:c r="K10" s="9" t="str">
        <x:v>Bank + TradePilot</x:v>
      </x:c>
      <x:c r="L10" s="9" t="str">
        <x:v>Business purchase.</x:v>
      </x:c>
      <x:c r="M10" s="9" t="str">
        <x:v>m04pn2</x:v>
      </x:c>
    </x:row>
    <x:row r="11" ht="15" hidden="0" customHeight="1">
      <x:c r="A11" s="9" t="str">
        <x:v>Invoice basis</x:v>
      </x:c>
      <x:c r="B11" s="9" t="str">
        <x:v>19-31 Jan 2026</x:v>
      </x:c>
      <x:c r="C11" s="10" t="n">
        <x:v>46041.958333333336</x:v>
      </x:c>
      <x:c r="D11" s="9" t="str">
        <x:v>Purchase</x:v>
      </x:c>
      <x:c r="E11" s="9" t="str">
        <x:v>BNZ bank (pre-import)</x:v>
      </x:c>
      <x:c r="F11" s="9" t="str">
        <x:v>COLUMBUSCOFFEEWANAKA · 6032 · 434667201329</x:v>
      </x:c>
      <x:c r="G11" s="11" t="n">
        <x:v>10.2</x:v>
      </x:c>
      <x:c r="H11" s="11" t="n">
        <x:v>0</x:v>
      </x:c>
      <x:c r="I11" s="9" t="str">
        <x:v>N</x:v>
      </x:c>
      <x:c r="J11" s="9" t="str">
        <x:v>High</x:v>
      </x:c>
      <x:c r="K11" s="9" t="str">
        <x:v>Bank description</x:v>
      </x:c>
      <x:c r="L11" s="9" t="str">
        <x:v>Personal, transfer, tax, cash withdrawal, food or entertainment; no GST claim.</x:v>
      </x:c>
      <x:c r="M11" s="9" t="str">
        <x:v>fxq4ih</x:v>
      </x:c>
    </x:row>
    <x:row r="12" ht="15" hidden="0" customHeight="1">
      <x:c r="A12" s="9" t="str">
        <x:v>Invoice basis</x:v>
      </x:c>
      <x:c r="B12" s="9" t="str">
        <x:v>19-31 Jan 2026</x:v>
      </x:c>
      <x:c r="C12" s="10" t="n">
        <x:v>46041.958333333336</x:v>
      </x:c>
      <x:c r="D12" s="9" t="str">
        <x:v>Purchase</x:v>
      </x:c>
      <x:c r="E12" s="9" t="str">
        <x:v>BNZ bank (pre-import)</x:v>
      </x:c>
      <x:c r="F12" s="9" t="str">
        <x:v>New World Wanaka · 6032 · 420549201134</x:v>
      </x:c>
      <x:c r="G12" s="11" t="n">
        <x:v>17.9</x:v>
      </x:c>
      <x:c r="H12" s="11" t="n">
        <x:v>0</x:v>
      </x:c>
      <x:c r="I12" s="9" t="str">
        <x:v>N</x:v>
      </x:c>
      <x:c r="J12" s="9" t="str">
        <x:v>High</x:v>
      </x:c>
      <x:c r="K12" s="9" t="str">
        <x:v>Bank description</x:v>
      </x:c>
      <x:c r="L12" s="9" t="str">
        <x:v>Personal, transfer, tax, cash withdrawal, food or entertainment; no GST claim.</x:v>
      </x:c>
      <x:c r="M12" s="9" t="str">
        <x:v>8aafff</x:v>
      </x:c>
    </x:row>
    <x:row r="13" ht="15" hidden="0" customHeight="1">
      <x:c r="A13" s="9" t="str">
        <x:v>Invoice basis</x:v>
      </x:c>
      <x:c r="B13" s="9" t="str">
        <x:v>19-31 Jan 2026</x:v>
      </x:c>
      <x:c r="C13" s="10" t="n">
        <x:v>46041.958333333336</x:v>
      </x:c>
      <x:c r="D13" s="9" t="str">
        <x:v>Purchase</x:v>
      </x:c>
      <x:c r="E13" s="9" t="str">
        <x:v>BNZ bank (pre-import)</x:v>
      </x:c>
      <x:c r="F13" s="9" t="str">
        <x:v>MITRE 10 MEGA WANAKA · 6032 · 434667201241</x:v>
      </x:c>
      <x:c r="G13" s="11" t="n">
        <x:v>176.97</x:v>
      </x:c>
      <x:c r="H13" s="11" t="n">
        <x:v>23.08</x:v>
      </x:c>
      <x:c r="I13" s="9" t="str">
        <x:v>Y</x:v>
      </x:c>
      <x:c r="J13" s="9" t="str">
        <x:v>High</x:v>
      </x:c>
      <x:c r="K13" s="9" t="str">
        <x:v>Bank + TradePilot</x:v>
      </x:c>
      <x:c r="L13" s="9" t="str">
        <x:v>Business purchase.</x:v>
      </x:c>
      <x:c r="M13" s="9" t="str">
        <x:v>iwr9yf</x:v>
      </x:c>
    </x:row>
    <x:row r="14" ht="15" hidden="0" customHeight="1">
      <x:c r="A14" s="9" t="str">
        <x:v>Invoice basis</x:v>
      </x:c>
      <x:c r="B14" s="9" t="str">
        <x:v>19-31 Jan 2026</x:v>
      </x:c>
      <x:c r="C14" s="10" t="n">
        <x:v>46041.958333333336</x:v>
      </x:c>
      <x:c r="D14" s="9" t="str">
        <x:v>Purchase</x:v>
      </x:c>
      <x:c r="E14" s="9" t="str">
        <x:v>BNZ bank (pre-import)</x:v>
      </x:c>
      <x:c r="F14" s="9" t="str">
        <x:v>New World Three Park · 6032 · 420549201745</x:v>
      </x:c>
      <x:c r="G14" s="11" t="n">
        <x:v>59.69</x:v>
      </x:c>
      <x:c r="H14" s="11" t="n">
        <x:v>0</x:v>
      </x:c>
      <x:c r="I14" s="9" t="str">
        <x:v>N</x:v>
      </x:c>
      <x:c r="J14" s="9" t="str">
        <x:v>High</x:v>
      </x:c>
      <x:c r="K14" s="9" t="str">
        <x:v>Bank description</x:v>
      </x:c>
      <x:c r="L14" s="9" t="str">
        <x:v>Personal, transfer, tax, cash withdrawal, food or entertainment; no GST claim.</x:v>
      </x:c>
      <x:c r="M14" s="9" t="str">
        <x:v>vmnroe</x:v>
      </x:c>
    </x:row>
    <x:row r="15" ht="15" hidden="0" customHeight="1">
      <x:c r="A15" s="9" t="str">
        <x:v>Invoice basis</x:v>
      </x:c>
      <x:c r="B15" s="9" t="str">
        <x:v>19-31 Jan 2026</x:v>
      </x:c>
      <x:c r="C15" s="10" t="n">
        <x:v>46042.958333333336</x:v>
      </x:c>
      <x:c r="D15" s="9" t="str">
        <x:v>Purchase</x:v>
      </x:c>
      <x:c r="E15" s="9" t="str">
        <x:v>BNZ bank (pre-import)</x:v>
      </x:c>
      <x:c r="F15" s="9" t="str">
        <x:v>Resene - Wanaka 087 · 6032 · 420549211821</x:v>
      </x:c>
      <x:c r="G15" s="11" t="n">
        <x:v>41.11</x:v>
      </x:c>
      <x:c r="H15" s="11" t="n">
        <x:v>5.36</x:v>
      </x:c>
      <x:c r="I15" s="9" t="str">
        <x:v>Y</x:v>
      </x:c>
      <x:c r="J15" s="9" t="str">
        <x:v>High</x:v>
      </x:c>
      <x:c r="K15" s="9" t="str">
        <x:v>Bank + TradePilot</x:v>
      </x:c>
      <x:c r="L15" s="9" t="str">
        <x:v>Business purchase.</x:v>
      </x:c>
      <x:c r="M15" s="9" t="str">
        <x:v>xr7rny</x:v>
      </x:c>
    </x:row>
    <x:row r="16" ht="15" hidden="0" customHeight="1">
      <x:c r="A16" s="9" t="str">
        <x:v>Invoice basis</x:v>
      </x:c>
      <x:c r="B16" s="9" t="str">
        <x:v>19-31 Jan 2026</x:v>
      </x:c>
      <x:c r="C16" s="10" t="n">
        <x:v>46042.958333333336</x:v>
      </x:c>
      <x:c r="D16" s="9" t="str">
        <x:v>Purchase</x:v>
      </x:c>
      <x:c r="E16" s="9" t="str">
        <x:v>BNZ bank (pre-import)</x:v>
      </x:c>
      <x:c r="F16" s="9" t="str">
        <x:v>THE CASEY FAMILY TRU</x:v>
      </x:c>
      <x:c r="G16" s="11" t="n">
        <x:v>1250</x:v>
      </x:c>
      <x:c r="H16" s="11" t="n">
        <x:v>0</x:v>
      </x:c>
      <x:c r="I16" s="9" t="str">
        <x:v>N</x:v>
      </x:c>
      <x:c r="J16" s="9" t="str">
        <x:v>High</x:v>
      </x:c>
      <x:c r="K16" s="9" t="str">
        <x:v>Bank description</x:v>
      </x:c>
      <x:c r="L16" s="9" t="str">
        <x:v>Personal, transfer, tax, cash withdrawal, food or entertainment; no GST claim.</x:v>
      </x:c>
      <x:c r="M16" s="9" t="str">
        <x:v>8atgst</x:v>
      </x:c>
    </x:row>
    <x:row r="17" ht="15" hidden="0" customHeight="1">
      <x:c r="A17" s="9" t="str">
        <x:v>Invoice basis</x:v>
      </x:c>
      <x:c r="B17" s="9" t="str">
        <x:v>19-31 Jan 2026</x:v>
      </x:c>
      <x:c r="C17" s="10" t="n">
        <x:v>46043.958333333336</x:v>
      </x:c>
      <x:c r="D17" s="9" t="str">
        <x:v>Purchase</x:v>
      </x:c>
      <x:c r="E17" s="9" t="str">
        <x:v>BNZ bank (pre-import)</x:v>
      </x:c>
      <x:c r="F17" s="9" t="str">
        <x:v>New World Wanaka · 5996 · 420549221322</x:v>
      </x:c>
      <x:c r="G17" s="11" t="n">
        <x:v>95.48</x:v>
      </x:c>
      <x:c r="H17" s="11" t="n">
        <x:v>0</x:v>
      </x:c>
      <x:c r="I17" s="9" t="str">
        <x:v>N</x:v>
      </x:c>
      <x:c r="J17" s="9" t="str">
        <x:v>High</x:v>
      </x:c>
      <x:c r="K17" s="9" t="str">
        <x:v>Bank description</x:v>
      </x:c>
      <x:c r="L17" s="9" t="str">
        <x:v>Personal, transfer, tax, cash withdrawal, food or entertainment; no GST claim.</x:v>
      </x:c>
      <x:c r="M17" s="9" t="str">
        <x:v>y9ahkp</x:v>
      </x:c>
    </x:row>
    <x:row r="18" ht="15" hidden="0" customHeight="1">
      <x:c r="A18" s="9" t="str">
        <x:v>Invoice basis</x:v>
      </x:c>
      <x:c r="B18" s="9" t="str">
        <x:v>19-31 Jan 2026</x:v>
      </x:c>
      <x:c r="C18" s="10" t="n">
        <x:v>46043.958333333336</x:v>
      </x:c>
      <x:c r="D18" s="9" t="str">
        <x:v>Sale</x:v>
      </x:c>
      <x:c r="E18" s="9" t="str">
        <x:v>TradePilot invoice</x:v>
      </x:c>
      <x:c r="F18" s="9" t="str">
        <x:v>INV-J3 · deposit · Pass-2 backfill: deposit detected</x:v>
      </x:c>
      <x:c r="G18" s="11" t="n">
        <x:v>1656</x:v>
      </x:c>
      <x:c r="H18" s="11" t="n">
        <x:v>216</x:v>
      </x:c>
      <x:c r="I18" s="9" t="str">
        <x:v>Y</x:v>
      </x:c>
      <x:c r="J18" s="9" t="str">
        <x:v>Medium</x:v>
      </x:c>
      <x:c r="K18" s="9" t="str">
        <x:v>TradePilot invoice record</x:v>
      </x:c>
      <x:c r="L18" s="9" t="str">
        <x:v>Invoice record used; payment date is earlier where applicable.</x:v>
      </x:c>
      <x:c r="M18" s="9" t="str">
        <x:v>INV-J3</x:v>
      </x:c>
    </x:row>
    <x:row r="19" ht="15" hidden="0" customHeight="1">
      <x:c r="A19" s="9" t="str">
        <x:v>Invoice basis</x:v>
      </x:c>
      <x:c r="B19" s="9" t="str">
        <x:v>19-31 Jan 2026</x:v>
      </x:c>
      <x:c r="C19" s="10" t="n">
        <x:v>46044.958333333336</x:v>
      </x:c>
      <x:c r="D19" s="9" t="str">
        <x:v>Purchase</x:v>
      </x:c>
      <x:c r="E19" s="9" t="str">
        <x:v>BNZ bank (pre-import)</x:v>
      </x:c>
      <x:c r="F19" s="9" t="str">
        <x:v>MITRE 10 MEGA WANAKA · 5996 · 434667231412</x:v>
      </x:c>
      <x:c r="G19" s="11" t="n">
        <x:v>84.77</x:v>
      </x:c>
      <x:c r="H19" s="11" t="n">
        <x:v>11.06</x:v>
      </x:c>
      <x:c r="I19" s="9" t="str">
        <x:v>Y</x:v>
      </x:c>
      <x:c r="J19" s="9" t="str">
        <x:v>High</x:v>
      </x:c>
      <x:c r="K19" s="9" t="str">
        <x:v>Bank + TradePilot</x:v>
      </x:c>
      <x:c r="L19" s="9" t="str">
        <x:v>Business purchase.</x:v>
      </x:c>
      <x:c r="M19" s="9" t="str">
        <x:v>c3hv2j</x:v>
      </x:c>
    </x:row>
    <x:row r="20" ht="15" hidden="0" customHeight="1">
      <x:c r="A20" s="9" t="str">
        <x:v>Invoice basis</x:v>
      </x:c>
      <x:c r="B20" s="9" t="str">
        <x:v>19-31 Jan 2026</x:v>
      </x:c>
      <x:c r="C20" s="10" t="n">
        <x:v>46044.958333333336</x:v>
      </x:c>
      <x:c r="D20" s="9" t="str">
        <x:v>Purchase</x:v>
      </x:c>
      <x:c r="E20" s="9" t="str">
        <x:v>BNZ bank (pre-import)</x:v>
      </x:c>
      <x:c r="F20" s="9" t="str">
        <x:v>THE WAREHOUSE 212 WA · 5996 · 434667231413</x:v>
      </x:c>
      <x:c r="G20" s="11" t="n">
        <x:v>2</x:v>
      </x:c>
      <x:c r="H20" s="11" t="n">
        <x:v>0.26</x:v>
      </x:c>
      <x:c r="I20" s="9" t="str">
        <x:v>Y</x:v>
      </x:c>
      <x:c r="J20" s="9" t="str">
        <x:v>Medium</x:v>
      </x:c>
      <x:c r="K20" s="9" t="str">
        <x:v>Bank + TradePilot materials/tool notes</x:v>
      </x:c>
      <x:c r="L20" s="9" t="str">
        <x:v>Warehouse purchase treated as job materials/tools; retain the TradePilot description.</x:v>
      </x:c>
      <x:c r="M20" s="9" t="str">
        <x:v>kzm7m2</x:v>
      </x:c>
    </x:row>
    <x:row r="21" ht="15" hidden="0" customHeight="1">
      <x:c r="A21" s="9" t="str">
        <x:v>Invoice basis</x:v>
      </x:c>
      <x:c r="B21" s="9" t="str">
        <x:v>19-31 Jan 2026</x:v>
      </x:c>
      <x:c r="C21" s="10" t="n">
        <x:v>46044.958333333336</x:v>
      </x:c>
      <x:c r="D21" s="9" t="str">
        <x:v>Purchase</x:v>
      </x:c>
      <x:c r="E21" s="9" t="str">
        <x:v>BNZ bank (pre-import)</x:v>
      </x:c>
      <x:c r="F21" s="9" t="str">
        <x:v>New World Three Park · 5996 · 420549231419</x:v>
      </x:c>
      <x:c r="G21" s="11" t="n">
        <x:v>33.66</x:v>
      </x:c>
      <x:c r="H21" s="11" t="n">
        <x:v>0</x:v>
      </x:c>
      <x:c r="I21" s="9" t="str">
        <x:v>N</x:v>
      </x:c>
      <x:c r="J21" s="9" t="str">
        <x:v>High</x:v>
      </x:c>
      <x:c r="K21" s="9" t="str">
        <x:v>Bank description</x:v>
      </x:c>
      <x:c r="L21" s="9" t="str">
        <x:v>Personal, transfer, tax, cash withdrawal, food or entertainment; no GST claim.</x:v>
      </x:c>
      <x:c r="M21" s="9" t="str">
        <x:v>j1zrxv</x:v>
      </x:c>
    </x:row>
    <x:row r="22" ht="15" hidden="0" customHeight="1">
      <x:c r="A22" s="9" t="str">
        <x:v>Invoice basis</x:v>
      </x:c>
      <x:c r="B22" s="9" t="str">
        <x:v>19-31 Jan 2026</x:v>
      </x:c>
      <x:c r="C22" s="10" t="n">
        <x:v>46044.958333333336</x:v>
      </x:c>
      <x:c r="D22" s="9" t="str">
        <x:v>Purchase</x:v>
      </x:c>
      <x:c r="E22" s="9" t="str">
        <x:v>BNZ bank (pre-import)</x:v>
      </x:c>
      <x:c r="F22" s="9" t="str">
        <x:v>Resene - Wanaka 087 · 5996 · 420549231538</x:v>
      </x:c>
      <x:c r="G22" s="11" t="n">
        <x:v>67.08</x:v>
      </x:c>
      <x:c r="H22" s="11" t="n">
        <x:v>8.75</x:v>
      </x:c>
      <x:c r="I22" s="9" t="str">
        <x:v>Y</x:v>
      </x:c>
      <x:c r="J22" s="9" t="str">
        <x:v>High</x:v>
      </x:c>
      <x:c r="K22" s="9" t="str">
        <x:v>Bank + TradePilot</x:v>
      </x:c>
      <x:c r="L22" s="9" t="str">
        <x:v>Business purchase.</x:v>
      </x:c>
      <x:c r="M22" s="9" t="str">
        <x:v>gef0cl</x:v>
      </x:c>
    </x:row>
    <x:row r="23" ht="15" hidden="0" customHeight="1">
      <x:c r="A23" s="9" t="str">
        <x:v>Invoice basis</x:v>
      </x:c>
      <x:c r="B23" s="9" t="str">
        <x:v>19-31 Jan 2026</x:v>
      </x:c>
      <x:c r="C23" s="10" t="n">
        <x:v>46044.958333333336</x:v>
      </x:c>
      <x:c r="D23" s="9" t="str">
        <x:v>Purchase</x:v>
      </x:c>
      <x:c r="E23" s="9" t="str">
        <x:v>BNZ bank (pre-import)</x:v>
      </x:c>
      <x:c r="F23" s="9" t="str">
        <x:v>A BLENDS · 5996 · 448131231553</x:v>
      </x:c>
      <x:c r="G23" s="11" t="n">
        <x:v>95</x:v>
      </x:c>
      <x:c r="H23" s="11" t="n">
        <x:v>0</x:v>
      </x:c>
      <x:c r="I23" s="9" t="str">
        <x:v>N</x:v>
      </x:c>
      <x:c r="J23" s="9" t="str">
        <x:v>Review</x:v>
      </x:c>
      <x:c r="K23" s="9" t="str">
        <x:v>Bank only</x:v>
      </x:c>
      <x:c r="L23" s="9" t="str">
        <x:v>Unclear merchant/purpose.</x:v>
      </x:c>
      <x:c r="M23" s="9" t="str">
        <x:v>ysl0hy</x:v>
      </x:c>
    </x:row>
    <x:row r="24" ht="15" hidden="0" customHeight="1">
      <x:c r="A24" s="9" t="str">
        <x:v>Invoice basis</x:v>
      </x:c>
      <x:c r="B24" s="9" t="str">
        <x:v>19-31 Jan 2026</x:v>
      </x:c>
      <x:c r="C24" s="10" t="n">
        <x:v>46045.958333333336</x:v>
      </x:c>
      <x:c r="D24" s="9" t="str">
        <x:v>Purchase</x:v>
      </x:c>
      <x:c r="E24" s="9" t="str">
        <x:v>BNZ bank (pre-import)</x:v>
      </x:c>
      <x:c r="F24" s="9" t="str">
        <x:v>THE WAREHOUSE 212 WA · 5996 · 434667241102</x:v>
      </x:c>
      <x:c r="G24" s="11" t="n">
        <x:v>48.33</x:v>
      </x:c>
      <x:c r="H24" s="11" t="n">
        <x:v>6.3</x:v>
      </x:c>
      <x:c r="I24" s="9" t="str">
        <x:v>Y</x:v>
      </x:c>
      <x:c r="J24" s="9" t="str">
        <x:v>Medium</x:v>
      </x:c>
      <x:c r="K24" s="9" t="str">
        <x:v>Bank + TradePilot materials/tool notes</x:v>
      </x:c>
      <x:c r="L24" s="9" t="str">
        <x:v>Warehouse purchase treated as job materials/tools; retain the TradePilot description.</x:v>
      </x:c>
      <x:c r="M24" s="9" t="str">
        <x:v>x6jqcz</x:v>
      </x:c>
    </x:row>
    <x:row r="25" ht="15" hidden="0" customHeight="1">
      <x:c r="A25" s="9" t="str">
        <x:v>Invoice basis</x:v>
      </x:c>
      <x:c r="B25" s="9" t="str">
        <x:v>19-31 Jan 2026</x:v>
      </x:c>
      <x:c r="C25" s="10" t="n">
        <x:v>46045.958333333336</x:v>
      </x:c>
      <x:c r="D25" s="9" t="str">
        <x:v>Purchase</x:v>
      </x:c>
      <x:c r="E25" s="9" t="str">
        <x:v>BNZ bank (pre-import)</x:v>
      </x:c>
      <x:c r="F25" s="9" t="str">
        <x:v>New World Three Park · 5996 · 420549241126</x:v>
      </x:c>
      <x:c r="G25" s="11" t="n">
        <x:v>37.74</x:v>
      </x:c>
      <x:c r="H25" s="11" t="n">
        <x:v>0</x:v>
      </x:c>
      <x:c r="I25" s="9" t="str">
        <x:v>N</x:v>
      </x:c>
      <x:c r="J25" s="9" t="str">
        <x:v>High</x:v>
      </x:c>
      <x:c r="K25" s="9" t="str">
        <x:v>Bank description</x:v>
      </x:c>
      <x:c r="L25" s="9" t="str">
        <x:v>Personal, transfer, tax, cash withdrawal, food or entertainment; no GST claim.</x:v>
      </x:c>
      <x:c r="M25" s="9" t="str">
        <x:v>vgijir</x:v>
      </x:c>
    </x:row>
    <x:row r="26" ht="15" hidden="0" customHeight="1">
      <x:c r="A26" s="9" t="str">
        <x:v>Invoice basis</x:v>
      </x:c>
      <x:c r="B26" s="9" t="str">
        <x:v>19-31 Jan 2026</x:v>
      </x:c>
      <x:c r="C26" s="10" t="n">
        <x:v>46045.958333333336</x:v>
      </x:c>
      <x:c r="D26" s="9" t="str">
        <x:v>Purchase</x:v>
      </x:c>
      <x:c r="E26" s="9" t="str">
        <x:v>BNZ bank (pre-import)</x:v>
      </x:c>
      <x:c r="F26" s="9" t="str">
        <x:v>MITRE 10 MEGA WANAKA · 5996 · 434667240949</x:v>
      </x:c>
      <x:c r="G26" s="11" t="n">
        <x:v>106.84</x:v>
      </x:c>
      <x:c r="H26" s="11" t="n">
        <x:v>13.94</x:v>
      </x:c>
      <x:c r="I26" s="9" t="str">
        <x:v>Y</x:v>
      </x:c>
      <x:c r="J26" s="9" t="str">
        <x:v>High</x:v>
      </x:c>
      <x:c r="K26" s="9" t="str">
        <x:v>Bank + TradePilot</x:v>
      </x:c>
      <x:c r="L26" s="9" t="str">
        <x:v>Business purchase.</x:v>
      </x:c>
      <x:c r="M26" s="9" t="str">
        <x:v>5g2vcs</x:v>
      </x:c>
    </x:row>
    <x:row r="27" ht="15" hidden="0" customHeight="1">
      <x:c r="A27" s="9" t="str">
        <x:v>Invoice basis</x:v>
      </x:c>
      <x:c r="B27" s="9" t="str">
        <x:v>19-31 Jan 2026</x:v>
      </x:c>
      <x:c r="C27" s="10" t="n">
        <x:v>46046.958333333336</x:v>
      </x:c>
      <x:c r="D27" s="9" t="str">
        <x:v>Purchase</x:v>
      </x:c>
      <x:c r="E27" s="9" t="str">
        <x:v>BNZ bank (pre-import)</x:v>
      </x:c>
      <x:c r="F27" s="9" t="str">
        <x:v>New World Three Park · 5996 · 420549251353</x:v>
      </x:c>
      <x:c r="G27" s="11" t="n">
        <x:v>272.17</x:v>
      </x:c>
      <x:c r="H27" s="11" t="n">
        <x:v>0</x:v>
      </x:c>
      <x:c r="I27" s="9" t="str">
        <x:v>N</x:v>
      </x:c>
      <x:c r="J27" s="9" t="str">
        <x:v>High</x:v>
      </x:c>
      <x:c r="K27" s="9" t="str">
        <x:v>Bank description</x:v>
      </x:c>
      <x:c r="L27" s="9" t="str">
        <x:v>Personal, transfer, tax, cash withdrawal, food or entertainment; no GST claim.</x:v>
      </x:c>
      <x:c r="M27" s="9" t="str">
        <x:v>ycn5y9</x:v>
      </x:c>
    </x:row>
    <x:row r="28" ht="15" hidden="0" customHeight="1">
      <x:c r="A28" s="9" t="str">
        <x:v>Invoice basis</x:v>
      </x:c>
      <x:c r="B28" s="9" t="str">
        <x:v>19-31 Jan 2026</x:v>
      </x:c>
      <x:c r="C28" s="10" t="n">
        <x:v>46046.958333333336</x:v>
      </x:c>
      <x:c r="D28" s="9" t="str">
        <x:v>Purchase</x:v>
      </x:c>
      <x:c r="E28" s="9" t="str">
        <x:v>BNZ bank (pre-import)</x:v>
      </x:c>
      <x:c r="F28" s="9" t="str">
        <x:v>BP CONNECT WANAKA · 5996 · 492102250920</x:v>
      </x:c>
      <x:c r="G28" s="11" t="n">
        <x:v>37.65</x:v>
      </x:c>
      <x:c r="H28" s="11" t="n">
        <x:v>4.91</x:v>
      </x:c>
      <x:c r="I28" s="9" t="str">
        <x:v>Y</x:v>
      </x:c>
      <x:c r="J28" s="9" t="str">
        <x:v>High</x:v>
      </x:c>
      <x:c r="K28" s="9" t="str">
        <x:v>Bank + TradePilot</x:v>
      </x:c>
      <x:c r="L28" s="9" t="str">
        <x:v>Business purchase.</x:v>
      </x:c>
      <x:c r="M28" s="9" t="str">
        <x:v>bgqowv</x:v>
      </x:c>
    </x:row>
    <x:row r="29" ht="15" hidden="0" customHeight="1">
      <x:c r="A29" s="9" t="str">
        <x:v>Invoice basis</x:v>
      </x:c>
      <x:c r="B29" s="9" t="str">
        <x:v>19-31 Jan 2026</x:v>
      </x:c>
      <x:c r="C29" s="10" t="n">
        <x:v>46049.958333333336</x:v>
      </x:c>
      <x:c r="D29" s="9" t="str">
        <x:v>Sale</x:v>
      </x:c>
      <x:c r="E29" s="9" t="str">
        <x:v>TradePilot invoice</x:v>
      </x:c>
      <x:c r="F29" s="9" t="str">
        <x:v>INV-J1-F · final · Pass-2 backfill: final balance after deposit</x:v>
      </x:c>
      <x:c r="G29" s="11" t="n">
        <x:v>756</x:v>
      </x:c>
      <x:c r="H29" s="11" t="n">
        <x:v>98.61</x:v>
      </x:c>
      <x:c r="I29" s="9" t="str">
        <x:v>Y</x:v>
      </x:c>
      <x:c r="J29" s="9" t="str">
        <x:v>Medium</x:v>
      </x:c>
      <x:c r="K29" s="9" t="str">
        <x:v>TradePilot invoice record</x:v>
      </x:c>
      <x:c r="L29" s="9" t="str">
        <x:v>Invoice record used; payment date is earlier where applicable.</x:v>
      </x:c>
      <x:c r="M29" s="9" t="str">
        <x:v>INV-J1-F</x:v>
      </x:c>
    </x:row>
    <x:row r="30" ht="15" hidden="0" customHeight="1">
      <x:c r="A30" s="9" t="str">
        <x:v>Invoice basis</x:v>
      </x:c>
      <x:c r="B30" s="9" t="str">
        <x:v>19-31 Jan 2026</x:v>
      </x:c>
      <x:c r="C30" s="10" t="n">
        <x:v>46050.958333333336</x:v>
      </x:c>
      <x:c r="D30" s="9" t="str">
        <x:v>Purchase</x:v>
      </x:c>
      <x:c r="E30" s="9" t="str">
        <x:v>BNZ bank (pre-import)</x:v>
      </x:c>
      <x:c r="F30" s="9" t="str">
        <x:v>THE WAREHOUSE 212 WA · 5996 · 434667291332</x:v>
      </x:c>
      <x:c r="G30" s="11" t="n">
        <x:v>62</x:v>
      </x:c>
      <x:c r="H30" s="11" t="n">
        <x:v>0</x:v>
      </x:c>
      <x:c r="I30" s="9" t="str">
        <x:v>N</x:v>
      </x:c>
      <x:c r="J30" s="9" t="str">
        <x:v>Review</x:v>
      </x:c>
      <x:c r="K30" s="9" t="str">
        <x:v>Bank + TradePilot description</x:v>
      </x:c>
      <x:c r="L30" s="9" t="str">
        <x:v>Ordinary work clothing excluded. Change to Y only if protective or a distinctive branded uniform.</x:v>
      </x:c>
      <x:c r="M30" s="9" t="str">
        <x:v>nyt9mg</x:v>
      </x:c>
    </x:row>
    <x:row r="31" ht="15" hidden="0" customHeight="1">
      <x:c r="A31" s="9" t="str">
        <x:v>Invoice basis</x:v>
      </x:c>
      <x:c r="B31" s="9" t="str">
        <x:v>19-31 Jan 2026</x:v>
      </x:c>
      <x:c r="C31" s="10" t="n">
        <x:v>46050.958333333336</x:v>
      </x:c>
      <x:c r="D31" s="9" t="str">
        <x:v>Purchase</x:v>
      </x:c>
      <x:c r="E31" s="9" t="str">
        <x:v>BNZ bank (pre-import)</x:v>
      </x:c>
      <x:c r="F31" s="9" t="str">
        <x:v>YouMoney · INTERNET XFR</x:v>
      </x:c>
      <x:c r="G31" s="11" t="n">
        <x:v>200</x:v>
      </x:c>
      <x:c r="H31" s="11" t="n">
        <x:v>0</x:v>
      </x:c>
      <x:c r="I31" s="9" t="str">
        <x:v>N</x:v>
      </x:c>
      <x:c r="J31" s="9" t="str">
        <x:v>High</x:v>
      </x:c>
      <x:c r="K31" s="9" t="str">
        <x:v>Bank description</x:v>
      </x:c>
      <x:c r="L31" s="9" t="str">
        <x:v>Personal, transfer, tax, cash withdrawal, food or entertainment; no GST claim.</x:v>
      </x:c>
      <x:c r="M31" s="9" t="str">
        <x:v>vfdbyo</x:v>
      </x:c>
    </x:row>
    <x:row r="32" ht="15" hidden="0" customHeight="1">
      <x:c r="A32" s="9" t="str">
        <x:v>Invoice basis</x:v>
      </x:c>
      <x:c r="B32" s="9" t="str">
        <x:v>19-31 Jan 2026</x:v>
      </x:c>
      <x:c r="C32" s="10" t="n">
        <x:v>46051.958333333336</x:v>
      </x:c>
      <x:c r="D32" s="9" t="str">
        <x:v>Sale</x:v>
      </x:c>
      <x:c r="E32" s="9" t="str">
        <x:v>TradePilot invoice</x:v>
      </x:c>
      <x:c r="F32" s="9" t="str">
        <x:v>INV-J2-F · final · Pass-2 backfill: final balance after deposit</x:v>
      </x:c>
      <x:c r="G32" s="11" t="n">
        <x:v>2548.4</x:v>
      </x:c>
      <x:c r="H32" s="11" t="n">
        <x:v>332.4</x:v>
      </x:c>
      <x:c r="I32" s="9" t="str">
        <x:v>Y</x:v>
      </x:c>
      <x:c r="J32" s="9" t="str">
        <x:v>Medium</x:v>
      </x:c>
      <x:c r="K32" s="9" t="str">
        <x:v>TradePilot invoice record</x:v>
      </x:c>
      <x:c r="L32" s="9" t="str">
        <x:v>Invoice record used; payment date is earlier where applicable.</x:v>
      </x:c>
      <x:c r="M32" s="9" t="str">
        <x:v>INV-J2-F</x:v>
      </x:c>
    </x:row>
    <x:row r="33" ht="15" hidden="0" customHeight="1">
      <x:c r="A33" s="9" t="str">
        <x:v>Invoice basis</x:v>
      </x:c>
      <x:c r="B33" s="9" t="str">
        <x:v>19-31 Jan 2026</x:v>
      </x:c>
      <x:c r="C33" s="10" t="n">
        <x:v>46052.958333333336</x:v>
      </x:c>
      <x:c r="D33" s="9" t="str">
        <x:v>Purchase</x:v>
      </x:c>
      <x:c r="E33" s="9" t="str">
        <x:v>BNZ bank (pre-import)</x:v>
      </x:c>
      <x:c r="F33" s="9" t="str">
        <x:v>BP CONNECT WANAKA · 5996 · 492102311232</x:v>
      </x:c>
      <x:c r="G33" s="11" t="n">
        <x:v>11.8</x:v>
      </x:c>
      <x:c r="H33" s="11" t="n">
        <x:v>1.54</x:v>
      </x:c>
      <x:c r="I33" s="9" t="str">
        <x:v>Y</x:v>
      </x:c>
      <x:c r="J33" s="9" t="str">
        <x:v>High</x:v>
      </x:c>
      <x:c r="K33" s="9" t="str">
        <x:v>Bank + TradePilot</x:v>
      </x:c>
      <x:c r="L33" s="9" t="str">
        <x:v>Business purchase.</x:v>
      </x:c>
      <x:c r="M33" s="9" t="str">
        <x:v>7v6xwt</x:v>
      </x:c>
    </x:row>
    <x:row r="34" ht="15" hidden="0" customHeight="1">
      <x:c r="A34" s="9" t="str">
        <x:v>Invoice basis</x:v>
      </x:c>
      <x:c r="B34" s="9" t="str">
        <x:v>19-31 Jan 2026</x:v>
      </x:c>
      <x:c r="C34" s="10" t="n">
        <x:v>46052.958333333336</x:v>
      </x:c>
      <x:c r="D34" s="9" t="str">
        <x:v>Purchase</x:v>
      </x:c>
      <x:c r="E34" s="9" t="str">
        <x:v>BNZ bank (pre-import)</x:v>
      </x:c>
      <x:c r="F34" s="9" t="str">
        <x:v>COLUMBUSCOFFEEWANAKA · 5996 · 434667311036</x:v>
      </x:c>
      <x:c r="G34" s="11" t="n">
        <x:v>22.44</x:v>
      </x:c>
      <x:c r="H34" s="11" t="n">
        <x:v>0</x:v>
      </x:c>
      <x:c r="I34" s="9" t="str">
        <x:v>N</x:v>
      </x:c>
      <x:c r="J34" s="9" t="str">
        <x:v>High</x:v>
      </x:c>
      <x:c r="K34" s="9" t="str">
        <x:v>Bank description</x:v>
      </x:c>
      <x:c r="L34" s="9" t="str">
        <x:v>Personal, transfer, tax, cash withdrawal, food or entertainment; no GST claim.</x:v>
      </x:c>
      <x:c r="M34" s="9" t="str">
        <x:v>5kvbgz</x:v>
      </x:c>
    </x:row>
    <x:row r="35" ht="15" hidden="0" customHeight="1">
      <x:c r="A35" s="9" t="str">
        <x:v>Invoice basis</x:v>
      </x:c>
      <x:c r="B35" s="9" t="str">
        <x:v>19-31 Jan 2026</x:v>
      </x:c>
      <x:c r="C35" s="10" t="n">
        <x:v>46052.958333333336</x:v>
      </x:c>
      <x:c r="D35" s="9" t="str">
        <x:v>Purchase</x:v>
      </x:c>
      <x:c r="E35" s="9" t="str">
        <x:v>BNZ bank (pre-import)</x:v>
      </x:c>
      <x:c r="F35" s="9" t="str">
        <x:v>MITRE 10 MEGA WANAKA · 5996 · 434667311014</x:v>
      </x:c>
      <x:c r="G35" s="11" t="n">
        <x:v>250.45</x:v>
      </x:c>
      <x:c r="H35" s="11" t="n">
        <x:v>32.67</x:v>
      </x:c>
      <x:c r="I35" s="9" t="str">
        <x:v>Y</x:v>
      </x:c>
      <x:c r="J35" s="9" t="str">
        <x:v>High</x:v>
      </x:c>
      <x:c r="K35" s="9" t="str">
        <x:v>Bank + TradePilot</x:v>
      </x:c>
      <x:c r="L35" s="9" t="str">
        <x:v>Business purchase.</x:v>
      </x:c>
      <x:c r="M35" s="9" t="str">
        <x:v>u74e5p</x:v>
      </x:c>
    </x:row>
    <x:row r="36" ht="15" hidden="0" customHeight="1">
      <x:c r="A36" s="9" t="str">
        <x:v>Invoice basis</x:v>
      </x:c>
      <x:c r="B36" s="9" t="str">
        <x:v>19-31 Jan 2026</x:v>
      </x:c>
      <x:c r="C36" s="10" t="n">
        <x:v>46052.958333333336</x:v>
      </x:c>
      <x:c r="D36" s="9" t="str">
        <x:v>Purchase</x:v>
      </x:c>
      <x:c r="E36" s="9" t="str">
        <x:v>BNZ bank (pre-import)</x:v>
      </x:c>
      <x:c r="F36" s="9" t="str">
        <x:v>New World Three Park · 5996 · 420549311607</x:v>
      </x:c>
      <x:c r="G36" s="11" t="n">
        <x:v>6.79</x:v>
      </x:c>
      <x:c r="H36" s="11" t="n">
        <x:v>0</x:v>
      </x:c>
      <x:c r="I36" s="9" t="str">
        <x:v>N</x:v>
      </x:c>
      <x:c r="J36" s="9" t="str">
        <x:v>High</x:v>
      </x:c>
      <x:c r="K36" s="9" t="str">
        <x:v>Bank description</x:v>
      </x:c>
      <x:c r="L36" s="9" t="str">
        <x:v>Personal, transfer, tax, cash withdrawal, food or entertainment; no GST claim.</x:v>
      </x:c>
      <x:c r="M36" s="9" t="str">
        <x:v>qhoyaq</x:v>
      </x:c>
    </x:row>
    <x:row r="37" ht="15" hidden="0" customHeight="1">
      <x:c r="A37" s="9" t="str">
        <x:v>Invoice basis</x:v>
      </x:c>
      <x:c r="B37" s="9" t="str">
        <x:v>1 Feb-31 Jul 2026</x:v>
      </x:c>
      <x:c r="C37" s="10" t="n">
        <x:v>46053.958333333336</x:v>
      </x:c>
      <x:c r="D37" s="9" t="str">
        <x:v>Purchase</x:v>
      </x:c>
      <x:c r="E37" s="9" t="str">
        <x:v>BNZ bank (pre-import)</x:v>
      </x:c>
      <x:c r="F37" s="9" t="str">
        <x:v>PATAGONIA WANAKA · 5996 · 434667011124</x:v>
      </x:c>
      <x:c r="G37" s="11" t="n">
        <x:v>10</x:v>
      </x:c>
      <x:c r="H37" s="11" t="n">
        <x:v>0</x:v>
      </x:c>
      <x:c r="I37" s="9" t="str">
        <x:v>N</x:v>
      </x:c>
      <x:c r="J37" s="9" t="str">
        <x:v>High</x:v>
      </x:c>
      <x:c r="K37" s="9" t="str">
        <x:v>Bank description</x:v>
      </x:c>
      <x:c r="L37" s="9" t="str">
        <x:v>Personal, transfer, tax, cash withdrawal, food or entertainment; no GST claim.</x:v>
      </x:c>
      <x:c r="M37" s="9" t="str">
        <x:v>lx0o6b</x:v>
      </x:c>
    </x:row>
    <x:row r="38" ht="15" hidden="0" customHeight="1">
      <x:c r="A38" s="9" t="str">
        <x:v>Invoice basis</x:v>
      </x:c>
      <x:c r="B38" s="9" t="str">
        <x:v>1 Feb-31 Jul 2026</x:v>
      </x:c>
      <x:c r="C38" s="10" t="n">
        <x:v>46053.958333333336</x:v>
      </x:c>
      <x:c r="D38" s="9" t="str">
        <x:v>Purchase</x:v>
      </x:c>
      <x:c r="E38" s="9" t="str">
        <x:v>BNZ bank (pre-import)</x:v>
      </x:c>
      <x:c r="F38" s="9" t="str">
        <x:v>BP CONNECT WANAKA · 5996 · 492102010949</x:v>
      </x:c>
      <x:c r="G38" s="11" t="n">
        <x:v>63.73</x:v>
      </x:c>
      <x:c r="H38" s="11" t="n">
        <x:v>8.31</x:v>
      </x:c>
      <x:c r="I38" s="9" t="str">
        <x:v>Y</x:v>
      </x:c>
      <x:c r="J38" s="9" t="str">
        <x:v>High</x:v>
      </x:c>
      <x:c r="K38" s="9" t="str">
        <x:v>Bank + TradePilot</x:v>
      </x:c>
      <x:c r="L38" s="9" t="str">
        <x:v>Business purchase.</x:v>
      </x:c>
      <x:c r="M38" s="9" t="str">
        <x:v>ujndj5</x:v>
      </x:c>
    </x:row>
    <x:row r="39" ht="15" hidden="0" customHeight="1">
      <x:c r="A39" s="9" t="str">
        <x:v>Invoice basis</x:v>
      </x:c>
      <x:c r="B39" s="9" t="str">
        <x:v>1 Feb-31 Jul 2026</x:v>
      </x:c>
      <x:c r="C39" s="10" t="n">
        <x:v>46054.958333333336</x:v>
      </x:c>
      <x:c r="D39" s="9" t="str">
        <x:v>Purchase</x:v>
      </x:c>
      <x:c r="E39" s="9" t="str">
        <x:v>BNZ bank (pre-import)</x:v>
      </x:c>
      <x:c r="F39" s="9" t="str">
        <x:v>Resene - Wanaka 087 · 5996 · 420549020857</x:v>
      </x:c>
      <x:c r="G39" s="11" t="n">
        <x:v>75</x:v>
      </x:c>
      <x:c r="H39" s="11" t="n">
        <x:v>9.78</x:v>
      </x:c>
      <x:c r="I39" s="9" t="str">
        <x:v>Y</x:v>
      </x:c>
      <x:c r="J39" s="9" t="str">
        <x:v>High</x:v>
      </x:c>
      <x:c r="K39" s="9" t="str">
        <x:v>Bank + TradePilot</x:v>
      </x:c>
      <x:c r="L39" s="9" t="str">
        <x:v>Business purchase.</x:v>
      </x:c>
      <x:c r="M39" s="9" t="str">
        <x:v>thunrk</x:v>
      </x:c>
    </x:row>
    <x:row r="40" ht="15" hidden="0" customHeight="1">
      <x:c r="A40" s="9" t="str">
        <x:v>Invoice basis</x:v>
      </x:c>
      <x:c r="B40" s="9" t="str">
        <x:v>1 Feb-31 Jul 2026</x:v>
      </x:c>
      <x:c r="C40" s="10" t="n">
        <x:v>46054.958333333336</x:v>
      </x:c>
      <x:c r="D40" s="9" t="str">
        <x:v>Purchase</x:v>
      </x:c>
      <x:c r="E40" s="9" t="str">
        <x:v>BNZ bank (pre-import)</x:v>
      </x:c>
      <x:c r="F40" s="9" t="str">
        <x:v>Placemakers Wanaka · 5996 · 420549020903</x:v>
      </x:c>
      <x:c r="G40" s="11" t="n">
        <x:v>76.31</x:v>
      </x:c>
      <x:c r="H40" s="11" t="n">
        <x:v>9.95</x:v>
      </x:c>
      <x:c r="I40" s="9" t="str">
        <x:v>Y</x:v>
      </x:c>
      <x:c r="J40" s="9" t="str">
        <x:v>High</x:v>
      </x:c>
      <x:c r="K40" s="9" t="str">
        <x:v>Bank + TradePilot</x:v>
      </x:c>
      <x:c r="L40" s="9" t="str">
        <x:v>Business purchase.</x:v>
      </x:c>
      <x:c r="M40" s="9" t="str">
        <x:v>j68pxj</x:v>
      </x:c>
    </x:row>
    <x:row r="41" ht="15" hidden="0" customHeight="1">
      <x:c r="A41" s="9" t="str">
        <x:v>Invoice basis</x:v>
      </x:c>
      <x:c r="B41" s="9" t="str">
        <x:v>1 Feb-31 Jul 2026</x:v>
      </x:c>
      <x:c r="C41" s="10" t="n">
        <x:v>46054.958333333336</x:v>
      </x:c>
      <x:c r="D41" s="9" t="str">
        <x:v>Purchase</x:v>
      </x:c>
      <x:c r="E41" s="9" t="str">
        <x:v>BNZ bank (pre-import)</x:v>
      </x:c>
      <x:c r="F41" s="9" t="str">
        <x:v>Stirling Sports Wana · 5996 · 420549020921</x:v>
      </x:c>
      <x:c r="G41" s="11" t="n">
        <x:v>140</x:v>
      </x:c>
      <x:c r="H41" s="11" t="n">
        <x:v>0</x:v>
      </x:c>
      <x:c r="I41" s="9" t="str">
        <x:v>N</x:v>
      </x:c>
      <x:c r="J41" s="9" t="str">
        <x:v>High</x:v>
      </x:c>
      <x:c r="K41" s="9" t="str">
        <x:v>Bank description</x:v>
      </x:c>
      <x:c r="L41" s="9" t="str">
        <x:v>Personal, transfer, tax, cash withdrawal, food or entertainment; no GST claim.</x:v>
      </x:c>
      <x:c r="M41" s="9" t="str">
        <x:v>ocww6q</x:v>
      </x:c>
    </x:row>
    <x:row r="42" ht="15" hidden="0" customHeight="1">
      <x:c r="A42" s="9" t="str">
        <x:v>Invoice basis</x:v>
      </x:c>
      <x:c r="B42" s="9" t="str">
        <x:v>1 Feb-31 Jul 2026</x:v>
      </x:c>
      <x:c r="C42" s="10" t="n">
        <x:v>46054.958333333336</x:v>
      </x:c>
      <x:c r="D42" s="9" t="str">
        <x:v>Purchase</x:v>
      </x:c>
      <x:c r="E42" s="9" t="str">
        <x:v>BNZ bank (pre-import)</x:v>
      </x:c>
      <x:c r="F42" s="9" t="str">
        <x:v>The Little Brewer · 5996 · 420549020925</x:v>
      </x:c>
      <x:c r="G42" s="11" t="n">
        <x:v>11.69</x:v>
      </x:c>
      <x:c r="H42" s="11" t="n">
        <x:v>0</x:v>
      </x:c>
      <x:c r="I42" s="9" t="str">
        <x:v>N</x:v>
      </x:c>
      <x:c r="J42" s="9" t="str">
        <x:v>High</x:v>
      </x:c>
      <x:c r="K42" s="9" t="str">
        <x:v>Bank description</x:v>
      </x:c>
      <x:c r="L42" s="9" t="str">
        <x:v>Personal, transfer, tax, cash withdrawal, food or entertainment; no GST claim.</x:v>
      </x:c>
      <x:c r="M42" s="9" t="str">
        <x:v>eafe7a</x:v>
      </x:c>
    </x:row>
    <x:row r="43" ht="15" hidden="0" customHeight="1">
      <x:c r="A43" s="9" t="str">
        <x:v>Invoice basis</x:v>
      </x:c>
      <x:c r="B43" s="9" t="str">
        <x:v>1 Feb-31 Jul 2026</x:v>
      </x:c>
      <x:c r="C43" s="10" t="n">
        <x:v>46054.958333333336</x:v>
      </x:c>
      <x:c r="D43" s="9" t="str">
        <x:v>Sale</x:v>
      </x:c>
      <x:c r="E43" s="9" t="str">
        <x:v>TradePilot invoice</x:v>
      </x:c>
      <x:c r="F43" s="9" t="str">
        <x:v>INV-J5 · deposit · Pass-2 backfill: deposit detected</x:v>
      </x:c>
      <x:c r="G43" s="11" t="n">
        <x:v>465.75</x:v>
      </x:c>
      <x:c r="H43" s="11" t="n">
        <x:v>60.75</x:v>
      </x:c>
      <x:c r="I43" s="9" t="str">
        <x:v>Y</x:v>
      </x:c>
      <x:c r="J43" s="9" t="str">
        <x:v>Medium</x:v>
      </x:c>
      <x:c r="K43" s="9" t="str">
        <x:v>TradePilot invoice record</x:v>
      </x:c>
      <x:c r="L43" s="9" t="str">
        <x:v>Invoice record used; payment date is earlier where applicable.</x:v>
      </x:c>
      <x:c r="M43" s="9" t="str">
        <x:v>INV-J5</x:v>
      </x:c>
    </x:row>
    <x:row r="44" ht="15" hidden="0" customHeight="1">
      <x:c r="A44" s="9" t="str">
        <x:v>Invoice basis</x:v>
      </x:c>
      <x:c r="B44" s="9" t="str">
        <x:v>1 Feb-31 Jul 2026</x:v>
      </x:c>
      <x:c r="C44" s="10" t="n">
        <x:v>46054.958333333336</x:v>
      </x:c>
      <x:c r="D44" s="9" t="str">
        <x:v>Sale</x:v>
      </x:c>
      <x:c r="E44" s="9" t="str">
        <x:v>TradePilot invoice</x:v>
      </x:c>
      <x:c r="F44" s="9" t="str">
        <x:v>INV-J4 · deposit · Pass-2 backfill: deposit detected</x:v>
      </x:c>
      <x:c r="G44" s="11" t="n">
        <x:v>2001</x:v>
      </x:c>
      <x:c r="H44" s="11" t="n">
        <x:v>261</x:v>
      </x:c>
      <x:c r="I44" s="9" t="str">
        <x:v>Y</x:v>
      </x:c>
      <x:c r="J44" s="9" t="str">
        <x:v>Medium</x:v>
      </x:c>
      <x:c r="K44" s="9" t="str">
        <x:v>TradePilot invoice record</x:v>
      </x:c>
      <x:c r="L44" s="9" t="str">
        <x:v>Invoice record used; payment date is earlier where applicable.</x:v>
      </x:c>
      <x:c r="M44" s="9" t="str">
        <x:v>INV-J4</x:v>
      </x:c>
    </x:row>
    <x:row r="45" ht="15" hidden="0" customHeight="1">
      <x:c r="A45" s="9" t="str">
        <x:v>Invoice basis</x:v>
      </x:c>
      <x:c r="B45" s="9" t="str">
        <x:v>1 Feb-31 Jul 2026</x:v>
      </x:c>
      <x:c r="C45" s="10" t="n">
        <x:v>46055.958333333336</x:v>
      </x:c>
      <x:c r="D45" s="9" t="str">
        <x:v>Purchase</x:v>
      </x:c>
      <x:c r="E45" s="9" t="str">
        <x:v>BNZ bank (pre-import)</x:v>
      </x:c>
      <x:c r="F45" s="9" t="str">
        <x:v>Resene - Wanaka 087 · 5996 · 420549031255</x:v>
      </x:c>
      <x:c r="G45" s="11" t="n">
        <x:v>387.37</x:v>
      </x:c>
      <x:c r="H45" s="11" t="n">
        <x:v>50.53</x:v>
      </x:c>
      <x:c r="I45" s="9" t="str">
        <x:v>Y</x:v>
      </x:c>
      <x:c r="J45" s="9" t="str">
        <x:v>High</x:v>
      </x:c>
      <x:c r="K45" s="9" t="str">
        <x:v>Bank + TradePilot</x:v>
      </x:c>
      <x:c r="L45" s="9" t="str">
        <x:v>Business purchase.</x:v>
      </x:c>
      <x:c r="M45" s="9" t="str">
        <x:v>y9b2np</x:v>
      </x:c>
    </x:row>
    <x:row r="46" ht="15" hidden="0" customHeight="1">
      <x:c r="A46" s="9" t="str">
        <x:v>Invoice basis</x:v>
      </x:c>
      <x:c r="B46" s="9" t="str">
        <x:v>1 Feb-31 Jul 2026</x:v>
      </x:c>
      <x:c r="C46" s="10" t="n">
        <x:v>46056.958333333336</x:v>
      </x:c>
      <x:c r="D46" s="9" t="str">
        <x:v>Purchase</x:v>
      </x:c>
      <x:c r="E46" s="9" t="str">
        <x:v>BNZ bank (pre-import)</x:v>
      </x:c>
      <x:c r="F46" s="9" t="str">
        <x:v>MITRE 10 MEGA WANAKA · 5996 · 434667041430</x:v>
      </x:c>
      <x:c r="G46" s="11" t="n">
        <x:v>48.08</x:v>
      </x:c>
      <x:c r="H46" s="11" t="n">
        <x:v>6.27</x:v>
      </x:c>
      <x:c r="I46" s="9" t="str">
        <x:v>Y</x:v>
      </x:c>
      <x:c r="J46" s="9" t="str">
        <x:v>High</x:v>
      </x:c>
      <x:c r="K46" s="9" t="str">
        <x:v>Bank + TradePilot</x:v>
      </x:c>
      <x:c r="L46" s="9" t="str">
        <x:v>Business purchase.</x:v>
      </x:c>
      <x:c r="M46" s="9" t="str">
        <x:v>4is22s</x:v>
      </x:c>
    </x:row>
    <x:row r="47" ht="15" hidden="0" customHeight="1">
      <x:c r="A47" s="9" t="str">
        <x:v>Invoice basis</x:v>
      </x:c>
      <x:c r="B47" s="9" t="str">
        <x:v>1 Feb-31 Jul 2026</x:v>
      </x:c>
      <x:c r="C47" s="10" t="n">
        <x:v>46056.958333333336</x:v>
      </x:c>
      <x:c r="D47" s="9" t="str">
        <x:v>Purchase</x:v>
      </x:c>
      <x:c r="E47" s="9" t="str">
        <x:v>BNZ bank (pre-import)</x:v>
      </x:c>
      <x:c r="F47" s="9" t="str">
        <x:v>Resene - Wanaka 087 · 5996 · 420549040830</x:v>
      </x:c>
      <x:c r="G47" s="11" t="n">
        <x:v>48.48</x:v>
      </x:c>
      <x:c r="H47" s="11" t="n">
        <x:v>6.32</x:v>
      </x:c>
      <x:c r="I47" s="9" t="str">
        <x:v>Y</x:v>
      </x:c>
      <x:c r="J47" s="9" t="str">
        <x:v>High</x:v>
      </x:c>
      <x:c r="K47" s="9" t="str">
        <x:v>Bank + TradePilot</x:v>
      </x:c>
      <x:c r="L47" s="9" t="str">
        <x:v>Business purchase.</x:v>
      </x:c>
      <x:c r="M47" s="9" t="str">
        <x:v>glgtrd</x:v>
      </x:c>
    </x:row>
    <x:row r="48" ht="15" hidden="0" customHeight="1">
      <x:c r="A48" s="9" t="str">
        <x:v>Invoice basis</x:v>
      </x:c>
      <x:c r="B48" s="9" t="str">
        <x:v>1 Feb-31 Jul 2026</x:v>
      </x:c>
      <x:c r="C48" s="10" t="n">
        <x:v>46056.958333333336</x:v>
      </x:c>
      <x:c r="D48" s="9" t="str">
        <x:v>Purchase</x:v>
      </x:c>
      <x:c r="E48" s="9" t="str">
        <x:v>BNZ bank (pre-import)</x:v>
      </x:c>
      <x:c r="F48" s="9" t="str">
        <x:v>COLUMBUSCOFFEEWANAKA · 5996 · 434667041535</x:v>
      </x:c>
      <x:c r="G48" s="11" t="n">
        <x:v>10.2</x:v>
      </x:c>
      <x:c r="H48" s="11" t="n">
        <x:v>0</x:v>
      </x:c>
      <x:c r="I48" s="9" t="str">
        <x:v>N</x:v>
      </x:c>
      <x:c r="J48" s="9" t="str">
        <x:v>High</x:v>
      </x:c>
      <x:c r="K48" s="9" t="str">
        <x:v>Bank description</x:v>
      </x:c>
      <x:c r="L48" s="9" t="str">
        <x:v>Personal, transfer, tax, cash withdrawal, food or entertainment; no GST claim.</x:v>
      </x:c>
      <x:c r="M48" s="9" t="str">
        <x:v>x17tan</x:v>
      </x:c>
    </x:row>
    <x:row r="49" ht="15" hidden="0" customHeight="1">
      <x:c r="A49" s="9" t="str">
        <x:v>Invoice basis</x:v>
      </x:c>
      <x:c r="B49" s="9" t="str">
        <x:v>1 Feb-31 Jul 2026</x:v>
      </x:c>
      <x:c r="C49" s="10" t="n">
        <x:v>46056.958333333336</x:v>
      </x:c>
      <x:c r="D49" s="9" t="str">
        <x:v>Purchase</x:v>
      </x:c>
      <x:c r="E49" s="9" t="str">
        <x:v>BNZ bank (pre-import)</x:v>
      </x:c>
      <x:c r="F49" s="9" t="str">
        <x:v>MITRE 10 MEGA WANAKA · 5996 · 434667041536</x:v>
      </x:c>
      <x:c r="G49" s="11" t="n">
        <x:v>18.12</x:v>
      </x:c>
      <x:c r="H49" s="11" t="n">
        <x:v>2.36</x:v>
      </x:c>
      <x:c r="I49" s="9" t="str">
        <x:v>Y</x:v>
      </x:c>
      <x:c r="J49" s="9" t="str">
        <x:v>High</x:v>
      </x:c>
      <x:c r="K49" s="9" t="str">
        <x:v>Bank + TradePilot</x:v>
      </x:c>
      <x:c r="L49" s="9" t="str">
        <x:v>Business purchase.</x:v>
      </x:c>
      <x:c r="M49" s="9" t="str">
        <x:v>4hir8j</x:v>
      </x:c>
    </x:row>
    <x:row r="50" ht="15" hidden="0" customHeight="1">
      <x:c r="A50" s="9" t="str">
        <x:v>Invoice basis</x:v>
      </x:c>
      <x:c r="B50" s="9" t="str">
        <x:v>1 Feb-31 Jul 2026</x:v>
      </x:c>
      <x:c r="C50" s="10" t="n">
        <x:v>46056.958333333336</x:v>
      </x:c>
      <x:c r="D50" s="9" t="str">
        <x:v>Purchase</x:v>
      </x:c>
      <x:c r="E50" s="9" t="str">
        <x:v>BNZ bank (pre-import)</x:v>
      </x:c>
      <x:c r="F50" s="9" t="str">
        <x:v>One NZ Wanaka · 5996 · 420549041259</x:v>
      </x:c>
      <x:c r="G50" s="11" t="n">
        <x:v>20</x:v>
      </x:c>
      <x:c r="H50" s="11" t="n">
        <x:v>2.61</x:v>
      </x:c>
      <x:c r="I50" s="9" t="str">
        <x:v>Y</x:v>
      </x:c>
      <x:c r="J50" s="9" t="str">
        <x:v>High</x:v>
      </x:c>
      <x:c r="K50" s="9" t="str">
        <x:v>Bank + TradePilot</x:v>
      </x:c>
      <x:c r="L50" s="9" t="str">
        <x:v>Business purchase.</x:v>
      </x:c>
      <x:c r="M50" s="9" t="str">
        <x:v>cu6crn</x:v>
      </x:c>
    </x:row>
    <x:row r="51" ht="15" hidden="0" customHeight="1">
      <x:c r="A51" s="9" t="str">
        <x:v>Invoice basis</x:v>
      </x:c>
      <x:c r="B51" s="9" t="str">
        <x:v>1 Feb-31 Jul 2026</x:v>
      </x:c>
      <x:c r="C51" s="10" t="n">
        <x:v>46058.958333333336</x:v>
      </x:c>
      <x:c r="D51" s="9" t="str">
        <x:v>Purchase</x:v>
      </x:c>
      <x:c r="E51" s="9" t="str">
        <x:v>BNZ bank (pre-import)</x:v>
      </x:c>
      <x:c r="F51" s="9" t="str">
        <x:v>ColumbusCoffeeWanaka · 554447505996 · 0499061130</x:v>
      </x:c>
      <x:c r="G51" s="11" t="n">
        <x:v>6.9</x:v>
      </x:c>
      <x:c r="H51" s="11" t="n">
        <x:v>0</x:v>
      </x:c>
      <x:c r="I51" s="9" t="str">
        <x:v>N</x:v>
      </x:c>
      <x:c r="J51" s="9" t="str">
        <x:v>High</x:v>
      </x:c>
      <x:c r="K51" s="9" t="str">
        <x:v>Bank description</x:v>
      </x:c>
      <x:c r="L51" s="9" t="str">
        <x:v>Personal, transfer, tax, cash withdrawal, food or entertainment; no GST claim.</x:v>
      </x:c>
      <x:c r="M51" s="9" t="str">
        <x:v>e3u2gw</x:v>
      </x:c>
    </x:row>
    <x:row r="52" ht="15" hidden="0" customHeight="1">
      <x:c r="A52" s="9" t="str">
        <x:v>Invoice basis</x:v>
      </x:c>
      <x:c r="B52" s="9" t="str">
        <x:v>1 Feb-31 Jul 2026</x:v>
      </x:c>
      <x:c r="C52" s="10" t="n">
        <x:v>46058.958333333336</x:v>
      </x:c>
      <x:c r="D52" s="9" t="str">
        <x:v>Purchase</x:v>
      </x:c>
      <x:c r="E52" s="9" t="str">
        <x:v>BNZ bank (pre-import)</x:v>
      </x:c>
      <x:c r="F52" s="9" t="str">
        <x:v>MITRE 10 MEGA WANAKA · 5996 · 434667061321</x:v>
      </x:c>
      <x:c r="G52" s="11" t="n">
        <x:v>106.9</x:v>
      </x:c>
      <x:c r="H52" s="11" t="n">
        <x:v>13.94</x:v>
      </x:c>
      <x:c r="I52" s="9" t="str">
        <x:v>Y</x:v>
      </x:c>
      <x:c r="J52" s="9" t="str">
        <x:v>High</x:v>
      </x:c>
      <x:c r="K52" s="9" t="str">
        <x:v>Bank + TradePilot</x:v>
      </x:c>
      <x:c r="L52" s="9" t="str">
        <x:v>Business purchase.</x:v>
      </x:c>
      <x:c r="M52" s="9" t="str">
        <x:v>g5xtnx</x:v>
      </x:c>
    </x:row>
    <x:row r="53" ht="15" hidden="0" customHeight="1">
      <x:c r="A53" s="9" t="str">
        <x:v>Invoice basis</x:v>
      </x:c>
      <x:c r="B53" s="9" t="str">
        <x:v>1 Feb-31 Jul 2026</x:v>
      </x:c>
      <x:c r="C53" s="10" t="n">
        <x:v>46059.958333333336</x:v>
      </x:c>
      <x:c r="D53" s="9" t="str">
        <x:v>Purchase</x:v>
      </x:c>
      <x:c r="E53" s="9" t="str">
        <x:v>BNZ bank (pre-import)</x:v>
      </x:c>
      <x:c r="F53" s="9" t="str">
        <x:v>UBER *EATS HELP.UBER · 5996 · 453241071255</x:v>
      </x:c>
      <x:c r="G53" s="11" t="n">
        <x:v>20.99</x:v>
      </x:c>
      <x:c r="H53" s="11" t="n">
        <x:v>0</x:v>
      </x:c>
      <x:c r="I53" s="9" t="str">
        <x:v>N</x:v>
      </x:c>
      <x:c r="J53" s="9" t="str">
        <x:v>High</x:v>
      </x:c>
      <x:c r="K53" s="9" t="str">
        <x:v>Bank description</x:v>
      </x:c>
      <x:c r="L53" s="9" t="str">
        <x:v>Personal, transfer, tax, cash withdrawal, food or entertainment; no GST claim.</x:v>
      </x:c>
      <x:c r="M53" s="9" t="str">
        <x:v>1wscv5</x:v>
      </x:c>
    </x:row>
    <x:row r="54" ht="15" hidden="0" customHeight="1">
      <x:c r="A54" s="9" t="str">
        <x:v>Invoice basis</x:v>
      </x:c>
      <x:c r="B54" s="9" t="str">
        <x:v>1 Feb-31 Jul 2026</x:v>
      </x:c>
      <x:c r="C54" s="10" t="n">
        <x:v>46060.958333333336</x:v>
      </x:c>
      <x:c r="D54" s="9" t="str">
        <x:v>Purchase</x:v>
      </x:c>
      <x:c r="E54" s="9" t="str">
        <x:v>BNZ bank (pre-import)</x:v>
      </x:c>
      <x:c r="F54" s="9" t="str">
        <x:v>The little brewer · 554447505996 · 0499081243</x:v>
      </x:c>
      <x:c r="G54" s="11" t="n">
        <x:v>30.5</x:v>
      </x:c>
      <x:c r="H54" s="11" t="n">
        <x:v>0</x:v>
      </x:c>
      <x:c r="I54" s="9" t="str">
        <x:v>N</x:v>
      </x:c>
      <x:c r="J54" s="9" t="str">
        <x:v>High</x:v>
      </x:c>
      <x:c r="K54" s="9" t="str">
        <x:v>Bank description</x:v>
      </x:c>
      <x:c r="L54" s="9" t="str">
        <x:v>Personal, transfer, tax, cash withdrawal, food or entertainment; no GST claim.</x:v>
      </x:c>
      <x:c r="M54" s="9" t="str">
        <x:v>nvuesd</x:v>
      </x:c>
    </x:row>
    <x:row r="55" ht="15" hidden="0" customHeight="1">
      <x:c r="A55" s="9" t="str">
        <x:v>Invoice basis</x:v>
      </x:c>
      <x:c r="B55" s="9" t="str">
        <x:v>1 Feb-31 Jul 2026</x:v>
      </x:c>
      <x:c r="C55" s="10" t="n">
        <x:v>46060.958333333336</x:v>
      </x:c>
      <x:c r="D55" s="9" t="str">
        <x:v>Sale</x:v>
      </x:c>
      <x:c r="E55" s="9" t="str">
        <x:v>TradePilot invoice</x:v>
      </x:c>
      <x:c r="F55" s="9" t="str">
        <x:v>INV-J3-F · final · Pass-2 backfill: final balance after deposit</x:v>
      </x:c>
      <x:c r="G55" s="11" t="n">
        <x:v>3864</x:v>
      </x:c>
      <x:c r="H55" s="11" t="n">
        <x:v>504</x:v>
      </x:c>
      <x:c r="I55" s="9" t="str">
        <x:v>Y</x:v>
      </x:c>
      <x:c r="J55" s="9" t="str">
        <x:v>Medium</x:v>
      </x:c>
      <x:c r="K55" s="9" t="str">
        <x:v>TradePilot invoice record</x:v>
      </x:c>
      <x:c r="L55" s="9" t="str">
        <x:v>Invoice record used; payment date is earlier where applicable.</x:v>
      </x:c>
      <x:c r="M55" s="9" t="str">
        <x:v>INV-J3-F</x:v>
      </x:c>
    </x:row>
    <x:row r="56" ht="15" hidden="0" customHeight="1">
      <x:c r="A56" s="9" t="str">
        <x:v>Invoice basis</x:v>
      </x:c>
      <x:c r="B56" s="9" t="str">
        <x:v>1 Feb-31 Jul 2026</x:v>
      </x:c>
      <x:c r="C56" s="10" t="n">
        <x:v>46061.958333333336</x:v>
      </x:c>
      <x:c r="D56" s="9" t="str">
        <x:v>Purchase</x:v>
      </x:c>
      <x:c r="E56" s="9" t="str">
        <x:v>BNZ bank (pre-import)</x:v>
      </x:c>
      <x:c r="F56" s="9" t="str">
        <x:v>COLUMBUSCOFFEEWANAKA · 5996 · 434667091244</x:v>
      </x:c>
      <x:c r="G56" s="11" t="n">
        <x:v>10.2</x:v>
      </x:c>
      <x:c r="H56" s="11" t="n">
        <x:v>0</x:v>
      </x:c>
      <x:c r="I56" s="9" t="str">
        <x:v>N</x:v>
      </x:c>
      <x:c r="J56" s="9" t="str">
        <x:v>High</x:v>
      </x:c>
      <x:c r="K56" s="9" t="str">
        <x:v>Bank description</x:v>
      </x:c>
      <x:c r="L56" s="9" t="str">
        <x:v>Personal, transfer, tax, cash withdrawal, food or entertainment; no GST claim.</x:v>
      </x:c>
      <x:c r="M56" s="9" t="str">
        <x:v>5cl1o6</x:v>
      </x:c>
    </x:row>
    <x:row r="57" ht="15" hidden="0" customHeight="1">
      <x:c r="A57" s="9" t="str">
        <x:v>Invoice basis</x:v>
      </x:c>
      <x:c r="B57" s="9" t="str">
        <x:v>1 Feb-31 Jul 2026</x:v>
      </x:c>
      <x:c r="C57" s="10" t="n">
        <x:v>46061.958333333336</x:v>
      </x:c>
      <x:c r="D57" s="9" t="str">
        <x:v>Purchase</x:v>
      </x:c>
      <x:c r="E57" s="9" t="str">
        <x:v>BNZ bank (pre-import)</x:v>
      </x:c>
      <x:c r="F57" s="9" t="str">
        <x:v>MITRE 10 MEGA WANAKA · 5996 · 434667091331</x:v>
      </x:c>
      <x:c r="G57" s="11" t="n">
        <x:v>176.57</x:v>
      </x:c>
      <x:c r="H57" s="11" t="n">
        <x:v>23.03</x:v>
      </x:c>
      <x:c r="I57" s="9" t="str">
        <x:v>Y</x:v>
      </x:c>
      <x:c r="J57" s="9" t="str">
        <x:v>High</x:v>
      </x:c>
      <x:c r="K57" s="9" t="str">
        <x:v>Bank + TradePilot</x:v>
      </x:c>
      <x:c r="L57" s="9" t="str">
        <x:v>Business purchase.</x:v>
      </x:c>
      <x:c r="M57" s="9" t="str">
        <x:v>6bkg4k</x:v>
      </x:c>
    </x:row>
    <x:row r="58" ht="15" hidden="0" customHeight="1">
      <x:c r="A58" s="9" t="str">
        <x:v>Invoice basis</x:v>
      </x:c>
      <x:c r="B58" s="9" t="str">
        <x:v>1 Feb-31 Jul 2026</x:v>
      </x:c>
      <x:c r="C58" s="10" t="n">
        <x:v>46061.958333333336</x:v>
      </x:c>
      <x:c r="D58" s="9" t="str">
        <x:v>Purchase</x:v>
      </x:c>
      <x:c r="E58" s="9" t="str">
        <x:v>BNZ bank (pre-import)</x:v>
      </x:c>
      <x:c r="F58" s="9" t="str">
        <x:v>BP CONNECT WANAKA · 5996 · 492102091650</x:v>
      </x:c>
      <x:c r="G58" s="11" t="n">
        <x:v>54.89</x:v>
      </x:c>
      <x:c r="H58" s="11" t="n">
        <x:v>7.16</x:v>
      </x:c>
      <x:c r="I58" s="9" t="str">
        <x:v>Y</x:v>
      </x:c>
      <x:c r="J58" s="9" t="str">
        <x:v>High</x:v>
      </x:c>
      <x:c r="K58" s="9" t="str">
        <x:v>Bank + TradePilot</x:v>
      </x:c>
      <x:c r="L58" s="9" t="str">
        <x:v>Business purchase.</x:v>
      </x:c>
      <x:c r="M58" s="9" t="str">
        <x:v>sz01l8</x:v>
      </x:c>
    </x:row>
    <x:row r="59" ht="15" hidden="0" customHeight="1">
      <x:c r="A59" s="9" t="str">
        <x:v>Invoice basis</x:v>
      </x:c>
      <x:c r="B59" s="9" t="str">
        <x:v>1 Feb-31 Jul 2026</x:v>
      </x:c>
      <x:c r="C59" s="10" t="n">
        <x:v>46061.958333333336</x:v>
      </x:c>
      <x:c r="D59" s="9" t="str">
        <x:v>Purchase</x:v>
      </x:c>
      <x:c r="E59" s="9" t="str">
        <x:v>BNZ bank (pre-import)</x:v>
      </x:c>
      <x:c r="F59" s="9" t="str">
        <x:v>PATAGONIA WANAKA · 5996 · 434667091305</x:v>
      </x:c>
      <x:c r="G59" s="11" t="n">
        <x:v>10</x:v>
      </x:c>
      <x:c r="H59" s="11" t="n">
        <x:v>0</x:v>
      </x:c>
      <x:c r="I59" s="9" t="str">
        <x:v>N</x:v>
      </x:c>
      <x:c r="J59" s="9" t="str">
        <x:v>High</x:v>
      </x:c>
      <x:c r="K59" s="9" t="str">
        <x:v>Bank description</x:v>
      </x:c>
      <x:c r="L59" s="9" t="str">
        <x:v>Personal, transfer, tax, cash withdrawal, food or entertainment; no GST claim.</x:v>
      </x:c>
      <x:c r="M59" s="9" t="str">
        <x:v>qqftmc</x:v>
      </x:c>
    </x:row>
    <x:row r="60" ht="15" hidden="0" customHeight="1">
      <x:c r="A60" s="9" t="str">
        <x:v>Invoice basis</x:v>
      </x:c>
      <x:c r="B60" s="9" t="str">
        <x:v>1 Feb-31 Jul 2026</x:v>
      </x:c>
      <x:c r="C60" s="10" t="n">
        <x:v>46061.958333333336</x:v>
      </x:c>
      <x:c r="D60" s="9" t="str">
        <x:v>Purchase</x:v>
      </x:c>
      <x:c r="E60" s="9" t="str">
        <x:v>BNZ bank (pre-import)</x:v>
      </x:c>
      <x:c r="F60" s="9" t="str">
        <x:v>OPENAI *CHATGPT SUBS · 5996 · 449216092211</x:v>
      </x:c>
      <x:c r="G60" s="11" t="n">
        <x:v>39.68</x:v>
      </x:c>
      <x:c r="H60" s="11" t="n">
        <x:v>5.18</x:v>
      </x:c>
      <x:c r="I60" s="9" t="str">
        <x:v>Y</x:v>
      </x:c>
      <x:c r="J60" s="9" t="str">
        <x:v>Review</x:v>
      </x:c>
      <x:c r="K60" s="9" t="str">
        <x:v>Bank + TradePilot; check supplier invoice shows NZ GST</x:v>
      </x:c>
      <x:c r="L60" s="9" t="str">
        <x:v>Included provisionally; overseas software is claimable only if NZ GST was actually charged.</x:v>
      </x:c>
      <x:c r="M60" s="9" t="str">
        <x:v>thqu8j</x:v>
      </x:c>
    </x:row>
    <x:row r="61" ht="15" hidden="0" customHeight="1">
      <x:c r="A61" s="9" t="str">
        <x:v>Invoice basis</x:v>
      </x:c>
      <x:c r="B61" s="9" t="str">
        <x:v>1 Feb-31 Jul 2026</x:v>
      </x:c>
      <x:c r="C61" s="10" t="n">
        <x:v>46063.958333333336</x:v>
      </x:c>
      <x:c r="D61" s="9" t="str">
        <x:v>Purchase</x:v>
      </x:c>
      <x:c r="E61" s="9" t="str">
        <x:v>BNZ bank (pre-import)</x:v>
      </x:c>
      <x:c r="F61" s="9" t="str">
        <x:v>PAPER PLUS WANAKA · 5996 · 455046111733</x:v>
      </x:c>
      <x:c r="G61" s="11" t="n">
        <x:v>2.4</x:v>
      </x:c>
      <x:c r="H61" s="11" t="n">
        <x:v>0</x:v>
      </x:c>
      <x:c r="I61" s="9" t="str">
        <x:v>N</x:v>
      </x:c>
      <x:c r="J61" s="9" t="str">
        <x:v>Review</x:v>
      </x:c>
      <x:c r="K61" s="9" t="str">
        <x:v>Bank only</x:v>
      </x:c>
      <x:c r="L61" s="9" t="str">
        <x:v>Not clearly business or GST-bearing from the available records.</x:v>
      </x:c>
      <x:c r="M61" s="9" t="str">
        <x:v>mhqjlq</x:v>
      </x:c>
    </x:row>
    <x:row r="62" ht="15" hidden="0" customHeight="1">
      <x:c r="A62" s="9" t="str">
        <x:v>Invoice basis</x:v>
      </x:c>
      <x:c r="B62" s="9" t="str">
        <x:v>1 Feb-31 Jul 2026</x:v>
      </x:c>
      <x:c r="C62" s="10" t="n">
        <x:v>46063.958333333336</x:v>
      </x:c>
      <x:c r="D62" s="9" t="str">
        <x:v>Purchase</x:v>
      </x:c>
      <x:c r="E62" s="9" t="str">
        <x:v>BNZ bank (pre-import)</x:v>
      </x:c>
      <x:c r="F62" s="9" t="str">
        <x:v>Spotify P3F3E5AD21 · 5996 · 487115112155</x:v>
      </x:c>
      <x:c r="G62" s="11" t="n">
        <x:v>25.49</x:v>
      </x:c>
      <x:c r="H62" s="11" t="n">
        <x:v>0</x:v>
      </x:c>
      <x:c r="I62" s="9" t="str">
        <x:v>N</x:v>
      </x:c>
      <x:c r="J62" s="9" t="str">
        <x:v>High</x:v>
      </x:c>
      <x:c r="K62" s="9" t="str">
        <x:v>Bank description</x:v>
      </x:c>
      <x:c r="L62" s="9" t="str">
        <x:v>Personal, transfer, tax, cash withdrawal, food or entertainment; no GST claim.</x:v>
      </x:c>
      <x:c r="M62" s="9" t="str">
        <x:v>cqod1e</x:v>
      </x:c>
    </x:row>
    <x:row r="63" ht="15" hidden="0" customHeight="1">
      <x:c r="A63" s="9" t="str">
        <x:v>Invoice basis</x:v>
      </x:c>
      <x:c r="B63" s="9" t="str">
        <x:v>1 Feb-31 Jul 2026</x:v>
      </x:c>
      <x:c r="C63" s="10" t="n">
        <x:v>46066.958333333336</x:v>
      </x:c>
      <x:c r="D63" s="9" t="str">
        <x:v>Purchase</x:v>
      </x:c>
      <x:c r="E63" s="9" t="str">
        <x:v>BNZ bank (pre-import)</x:v>
      </x:c>
      <x:c r="F63" s="9" t="str">
        <x:v>WWW.TRADEMAX.CO.NZ · 5996 · 448131131427</x:v>
      </x:c>
      <x:c r="G63" s="11" t="n">
        <x:v>1201.86</x:v>
      </x:c>
      <x:c r="H63" s="11" t="n">
        <x:v>156.76</x:v>
      </x:c>
      <x:c r="I63" s="9" t="str">
        <x:v>Y</x:v>
      </x:c>
      <x:c r="J63" s="9" t="str">
        <x:v>High</x:v>
      </x:c>
      <x:c r="K63" s="9" t="str">
        <x:v>Bank + TradePilot</x:v>
      </x:c>
      <x:c r="L63" s="9" t="str">
        <x:v>Business purchase.</x:v>
      </x:c>
      <x:c r="M63" s="9" t="str">
        <x:v>97nbao</x:v>
      </x:c>
    </x:row>
    <x:row r="64" ht="15" hidden="0" customHeight="1">
      <x:c r="A64" s="9" t="str">
        <x:v>Invoice basis</x:v>
      </x:c>
      <x:c r="B64" s="9" t="str">
        <x:v>1 Feb-31 Jul 2026</x:v>
      </x:c>
      <x:c r="C64" s="10" t="n">
        <x:v>46066.958333333336</x:v>
      </x:c>
      <x:c r="D64" s="9" t="str">
        <x:v>Purchase</x:v>
      </x:c>
      <x:c r="E64" s="9" t="str">
        <x:v>BNZ bank (pre-import)</x:v>
      </x:c>
      <x:c r="F64" s="9" t="str">
        <x:v>Dulux</x:v>
      </x:c>
      <x:c r="G64" s="11" t="n">
        <x:v>216.85</x:v>
      </x:c>
      <x:c r="H64" s="11" t="n">
        <x:v>28.28</x:v>
      </x:c>
      <x:c r="I64" s="9" t="str">
        <x:v>Y</x:v>
      </x:c>
      <x:c r="J64" s="9" t="str">
        <x:v>High</x:v>
      </x:c>
      <x:c r="K64" s="9" t="str">
        <x:v>Bank + TradePilot</x:v>
      </x:c>
      <x:c r="L64" s="9" t="str">
        <x:v>Business purchase.</x:v>
      </x:c>
      <x:c r="M64" s="9" t="str">
        <x:v>eexw4t</x:v>
      </x:c>
    </x:row>
    <x:row r="65" ht="15" hidden="0" customHeight="1">
      <x:c r="A65" s="9" t="str">
        <x:v>Invoice basis</x:v>
      </x:c>
      <x:c r="B65" s="9" t="str">
        <x:v>1 Feb-31 Jul 2026</x:v>
      </x:c>
      <x:c r="C65" s="10" t="n">
        <x:v>46066.958333333336</x:v>
      </x:c>
      <x:c r="D65" s="9" t="str">
        <x:v>Purchase</x:v>
      </x:c>
      <x:c r="E65" s="9" t="str">
        <x:v>BNZ bank (pre-import)</x:v>
      </x:c>
      <x:c r="F65" s="9" t="str">
        <x:v>ONE NZ · 5996 · 432129140854</x:v>
      </x:c>
      <x:c r="G65" s="11" t="n">
        <x:v>151.86</x:v>
      </x:c>
      <x:c r="H65" s="11" t="n">
        <x:v>19.81</x:v>
      </x:c>
      <x:c r="I65" s="9" t="str">
        <x:v>Y</x:v>
      </x:c>
      <x:c r="J65" s="9" t="str">
        <x:v>High</x:v>
      </x:c>
      <x:c r="K65" s="9" t="str">
        <x:v>Bank + TradePilot</x:v>
      </x:c>
      <x:c r="L65" s="9" t="str">
        <x:v>Business purchase.</x:v>
      </x:c>
      <x:c r="M65" s="9" t="str">
        <x:v>8ggz9u</x:v>
      </x:c>
    </x:row>
    <x:row r="66" ht="15" hidden="0" customHeight="1">
      <x:c r="A66" s="9" t="str">
        <x:v>Invoice basis</x:v>
      </x:c>
      <x:c r="B66" s="9" t="str">
        <x:v>1 Feb-31 Jul 2026</x:v>
      </x:c>
      <x:c r="C66" s="10" t="n">
        <x:v>46066.958333333336</x:v>
      </x:c>
      <x:c r="D66" s="9" t="str">
        <x:v>Purchase</x:v>
      </x:c>
      <x:c r="E66" s="9" t="str">
        <x:v>BNZ bank (pre-import)</x:v>
      </x:c>
      <x:c r="F66" s="9" t="str">
        <x:v>CINEMA PARADISO · 5996 · 434667141219</x:v>
      </x:c>
      <x:c r="G66" s="11" t="n">
        <x:v>6.15</x:v>
      </x:c>
      <x:c r="H66" s="11" t="n">
        <x:v>0</x:v>
      </x:c>
      <x:c r="I66" s="9" t="str">
        <x:v>N</x:v>
      </x:c>
      <x:c r="J66" s="9" t="str">
        <x:v>High</x:v>
      </x:c>
      <x:c r="K66" s="9" t="str">
        <x:v>Bank description</x:v>
      </x:c>
      <x:c r="L66" s="9" t="str">
        <x:v>Personal, transfer, tax, cash withdrawal, food or entertainment; no GST claim.</x:v>
      </x:c>
      <x:c r="M66" s="9" t="str">
        <x:v>frgu8s</x:v>
      </x:c>
    </x:row>
    <x:row r="67" ht="15" hidden="0" customHeight="1">
      <x:c r="A67" s="9" t="str">
        <x:v>Invoice basis</x:v>
      </x:c>
      <x:c r="B67" s="9" t="str">
        <x:v>1 Feb-31 Jul 2026</x:v>
      </x:c>
      <x:c r="C67" s="10" t="n">
        <x:v>46066.958333333336</x:v>
      </x:c>
      <x:c r="D67" s="9" t="str">
        <x:v>Purchase</x:v>
      </x:c>
      <x:c r="E67" s="9" t="str">
        <x:v>BNZ bank (pre-import)</x:v>
      </x:c>
      <x:c r="F67" s="9" t="str">
        <x:v>Paddle &amp; Pint · 5996 · 420549141455</x:v>
      </x:c>
      <x:c r="G67" s="11" t="n">
        <x:v>34</x:v>
      </x:c>
      <x:c r="H67" s="11" t="n">
        <x:v>0</x:v>
      </x:c>
      <x:c r="I67" s="9" t="str">
        <x:v>N</x:v>
      </x:c>
      <x:c r="J67" s="9" t="str">
        <x:v>High</x:v>
      </x:c>
      <x:c r="K67" s="9" t="str">
        <x:v>Bank description</x:v>
      </x:c>
      <x:c r="L67" s="9" t="str">
        <x:v>Personal, transfer, tax, cash withdrawal, food or entertainment; no GST claim.</x:v>
      </x:c>
      <x:c r="M67" s="9" t="str">
        <x:v>qf4fg6</x:v>
      </x:c>
    </x:row>
    <x:row r="68" ht="15" hidden="0" customHeight="1">
      <x:c r="A68" s="9" t="str">
        <x:v>Invoice basis</x:v>
      </x:c>
      <x:c r="B68" s="9" t="str">
        <x:v>1 Feb-31 Jul 2026</x:v>
      </x:c>
      <x:c r="C68" s="10" t="n">
        <x:v>46067.958333333336</x:v>
      </x:c>
      <x:c r="D68" s="9" t="str">
        <x:v>Purchase</x:v>
      </x:c>
      <x:c r="E68" s="9" t="str">
        <x:v>BNZ bank (pre-import)</x:v>
      </x:c>
      <x:c r="F68" s="9" t="str">
        <x:v>BP CONNECT WANAKA · 5996 · 492102151054</x:v>
      </x:c>
      <x:c r="G68" s="11" t="n">
        <x:v>62.56</x:v>
      </x:c>
      <x:c r="H68" s="11" t="n">
        <x:v>8.16</x:v>
      </x:c>
      <x:c r="I68" s="9" t="str">
        <x:v>Y</x:v>
      </x:c>
      <x:c r="J68" s="9" t="str">
        <x:v>High</x:v>
      </x:c>
      <x:c r="K68" s="9" t="str">
        <x:v>Bank + TradePilot</x:v>
      </x:c>
      <x:c r="L68" s="9" t="str">
        <x:v>Business purchase.</x:v>
      </x:c>
      <x:c r="M68" s="9" t="str">
        <x:v>9ztxx9</x:v>
      </x:c>
    </x:row>
    <x:row r="69" ht="15" hidden="0" customHeight="1">
      <x:c r="A69" s="9" t="str">
        <x:v>Invoice basis</x:v>
      </x:c>
      <x:c r="B69" s="9" t="str">
        <x:v>1 Feb-31 Jul 2026</x:v>
      </x:c>
      <x:c r="C69" s="10" t="n">
        <x:v>46067.958333333336</x:v>
      </x:c>
      <x:c r="D69" s="9" t="str">
        <x:v>Sale</x:v>
      </x:c>
      <x:c r="E69" s="9" t="str">
        <x:v>TradePilot invoice</x:v>
      </x:c>
      <x:c r="F69" s="9" t="str">
        <x:v>INV-J5-F · final · Pass-2 backfill: final balance after deposit</x:v>
      </x:c>
      <x:c r="G69" s="11" t="n">
        <x:v>1086.75</x:v>
      </x:c>
      <x:c r="H69" s="11" t="n">
        <x:v>141.75</x:v>
      </x:c>
      <x:c r="I69" s="9" t="str">
        <x:v>Y</x:v>
      </x:c>
      <x:c r="J69" s="9" t="str">
        <x:v>Medium</x:v>
      </x:c>
      <x:c r="K69" s="9" t="str">
        <x:v>TradePilot invoice record</x:v>
      </x:c>
      <x:c r="L69" s="9" t="str">
        <x:v>Invoice record used; payment date is earlier where applicable.</x:v>
      </x:c>
      <x:c r="M69" s="9" t="str">
        <x:v>INV-J5-F</x:v>
      </x:c>
    </x:row>
    <x:row r="70" ht="15" hidden="0" customHeight="1">
      <x:c r="A70" s="9" t="str">
        <x:v>Invoice basis</x:v>
      </x:c>
      <x:c r="B70" s="9" t="str">
        <x:v>1 Feb-31 Jul 2026</x:v>
      </x:c>
      <x:c r="C70" s="10" t="n">
        <x:v>46068.958333333336</x:v>
      </x:c>
      <x:c r="D70" s="9" t="str">
        <x:v>Purchase</x:v>
      </x:c>
      <x:c r="E70" s="9" t="str">
        <x:v>BNZ bank (pre-import)</x:v>
      </x:c>
      <x:c r="F70" s="9" t="str">
        <x:v>NZAA ONLINE MEMBERSH · 5996 · 492102161647</x:v>
      </x:c>
      <x:c r="G70" s="11" t="n">
        <x:v>89</x:v>
      </x:c>
      <x:c r="H70" s="11" t="n">
        <x:v>0</x:v>
      </x:c>
      <x:c r="I70" s="9" t="str">
        <x:v>N</x:v>
      </x:c>
      <x:c r="J70" s="9" t="str">
        <x:v>Review</x:v>
      </x:c>
      <x:c r="K70" s="9" t="str">
        <x:v>Bank only</x:v>
      </x:c>
      <x:c r="L70" s="9" t="str">
        <x:v>Roadside membership excluded pending confirmation it relates to the business vehicle and GST was charged.</x:v>
      </x:c>
      <x:c r="M70" s="9" t="str">
        <x:v>uu0jvc</x:v>
      </x:c>
    </x:row>
    <x:row r="71" ht="15" hidden="0" customHeight="1">
      <x:c r="A71" s="9" t="str">
        <x:v>Invoice basis</x:v>
      </x:c>
      <x:c r="B71" s="9" t="str">
        <x:v>1 Feb-31 Jul 2026</x:v>
      </x:c>
      <x:c r="C71" s="10" t="n">
        <x:v>46068.958333333336</x:v>
      </x:c>
      <x:c r="D71" s="9" t="str">
        <x:v>Purchase</x:v>
      </x:c>
      <x:c r="E71" s="9" t="str">
        <x:v>BNZ bank (pre-import)</x:v>
      </x:c>
      <x:c r="F71" s="9" t="str">
        <x:v>Wanaka Auto Repairs · 554447505996 · 0499161238</x:v>
      </x:c>
      <x:c r="G71" s="11" t="n">
        <x:v>294.48</x:v>
      </x:c>
      <x:c r="H71" s="11" t="n">
        <x:v>38.41</x:v>
      </x:c>
      <x:c r="I71" s="9" t="str">
        <x:v>Y</x:v>
      </x:c>
      <x:c r="J71" s="9" t="str">
        <x:v>High</x:v>
      </x:c>
      <x:c r="K71" s="9" t="str">
        <x:v>Bank + TradePilot</x:v>
      </x:c>
      <x:c r="L71" s="9" t="str">
        <x:v>Business purchase.</x:v>
      </x:c>
      <x:c r="M71" s="9" t="str">
        <x:v>6210fo</x:v>
      </x:c>
    </x:row>
    <x:row r="72" ht="15" hidden="0" customHeight="1">
      <x:c r="A72" s="9" t="str">
        <x:v>Invoice basis</x:v>
      </x:c>
      <x:c r="B72" s="9" t="str">
        <x:v>1 Feb-31 Jul 2026</x:v>
      </x:c>
      <x:c r="C72" s="10" t="n">
        <x:v>46070.958333333336</x:v>
      </x:c>
      <x:c r="D72" s="9" t="str">
        <x:v>Purchase</x:v>
      </x:c>
      <x:c r="E72" s="9" t="str">
        <x:v>BNZ bank (pre-import)</x:v>
      </x:c>
      <x:c r="F72" s="9" t="str">
        <x:v>Resene - Wanaka 087 · 5996 · 420549181421</x:v>
      </x:c>
      <x:c r="G72" s="11" t="n">
        <x:v>180.25</x:v>
      </x:c>
      <x:c r="H72" s="11" t="n">
        <x:v>23.51</x:v>
      </x:c>
      <x:c r="I72" s="9" t="str">
        <x:v>Y</x:v>
      </x:c>
      <x:c r="J72" s="9" t="str">
        <x:v>High</x:v>
      </x:c>
      <x:c r="K72" s="9" t="str">
        <x:v>Bank + TradePilot</x:v>
      </x:c>
      <x:c r="L72" s="9" t="str">
        <x:v>Business purchase.</x:v>
      </x:c>
      <x:c r="M72" s="9" t="str">
        <x:v>3udoyu</x:v>
      </x:c>
    </x:row>
    <x:row r="73" ht="15" hidden="0" customHeight="1">
      <x:c r="A73" s="9" t="str">
        <x:v>Invoice basis</x:v>
      </x:c>
      <x:c r="B73" s="9" t="str">
        <x:v>1 Feb-31 Jul 2026</x:v>
      </x:c>
      <x:c r="C73" s="10" t="n">
        <x:v>46070.958333333336</x:v>
      </x:c>
      <x:c r="D73" s="9" t="str">
        <x:v>Purchase</x:v>
      </x:c>
      <x:c r="E73" s="9" t="str">
        <x:v>BNZ bank (pre-import)</x:v>
      </x:c>
      <x:c r="F73" s="9" t="str">
        <x:v>MITRE 10 MEGA WANAKA · 5996 · 434667181514</x:v>
      </x:c>
      <x:c r="G73" s="11" t="n">
        <x:v>13.96</x:v>
      </x:c>
      <x:c r="H73" s="11" t="n">
        <x:v>1.82</x:v>
      </x:c>
      <x:c r="I73" s="9" t="str">
        <x:v>Y</x:v>
      </x:c>
      <x:c r="J73" s="9" t="str">
        <x:v>High</x:v>
      </x:c>
      <x:c r="K73" s="9" t="str">
        <x:v>Bank + TradePilot</x:v>
      </x:c>
      <x:c r="L73" s="9" t="str">
        <x:v>Business purchase.</x:v>
      </x:c>
      <x:c r="M73" s="9" t="str">
        <x:v>skn4sw</x:v>
      </x:c>
    </x:row>
    <x:row r="74" ht="15" hidden="0" customHeight="1">
      <x:c r="A74" s="9" t="str">
        <x:v>Invoice basis</x:v>
      </x:c>
      <x:c r="B74" s="9" t="str">
        <x:v>1 Feb-31 Jul 2026</x:v>
      </x:c>
      <x:c r="C74" s="10" t="n">
        <x:v>46070.958333333336</x:v>
      </x:c>
      <x:c r="D74" s="9" t="str">
        <x:v>Purchase</x:v>
      </x:c>
      <x:c r="E74" s="9" t="str">
        <x:v>BNZ bank (pre-import)</x:v>
      </x:c>
      <x:c r="F74" s="9" t="str">
        <x:v>YouMoney · INTERNET XFR</x:v>
      </x:c>
      <x:c r="G74" s="11" t="n">
        <x:v>500</x:v>
      </x:c>
      <x:c r="H74" s="11" t="n">
        <x:v>0</x:v>
      </x:c>
      <x:c r="I74" s="9" t="str">
        <x:v>N</x:v>
      </x:c>
      <x:c r="J74" s="9" t="str">
        <x:v>High</x:v>
      </x:c>
      <x:c r="K74" s="9" t="str">
        <x:v>Bank description</x:v>
      </x:c>
      <x:c r="L74" s="9" t="str">
        <x:v>Personal, transfer, tax, cash withdrawal, food or entertainment; no GST claim.</x:v>
      </x:c>
      <x:c r="M74" s="9" t="str">
        <x:v>awlfji</x:v>
      </x:c>
    </x:row>
    <x:row r="75" ht="15" hidden="0" customHeight="1">
      <x:c r="A75" s="9" t="str">
        <x:v>Invoice basis</x:v>
      </x:c>
      <x:c r="B75" s="9" t="str">
        <x:v>1 Feb-31 Jul 2026</x:v>
      </x:c>
      <x:c r="C75" s="10" t="n">
        <x:v>46072.958333333336</x:v>
      </x:c>
      <x:c r="D75" s="9" t="str">
        <x:v>Purchase</x:v>
      </x:c>
      <x:c r="E75" s="9" t="str">
        <x:v>BNZ bank (pre-import)</x:v>
      </x:c>
      <x:c r="F75" s="9" t="str">
        <x:v>THE BAKERY FACTORY S · 5996 · 455046201816</x:v>
      </x:c>
      <x:c r="G75" s="11" t="n">
        <x:v>23.75</x:v>
      </x:c>
      <x:c r="H75" s="11" t="n">
        <x:v>0</x:v>
      </x:c>
      <x:c r="I75" s="9" t="str">
        <x:v>N</x:v>
      </x:c>
      <x:c r="J75" s="9" t="str">
        <x:v>High</x:v>
      </x:c>
      <x:c r="K75" s="9" t="str">
        <x:v>Bank description</x:v>
      </x:c>
      <x:c r="L75" s="9" t="str">
        <x:v>Personal, transfer, tax, cash withdrawal, food or entertainment; no GST claim.</x:v>
      </x:c>
      <x:c r="M75" s="9" t="str">
        <x:v>jiyjtm</x:v>
      </x:c>
    </x:row>
    <x:row r="76" ht="15" hidden="0" customHeight="1">
      <x:c r="A76" s="9" t="str">
        <x:v>Invoice basis</x:v>
      </x:c>
      <x:c r="B76" s="9" t="str">
        <x:v>1 Feb-31 Jul 2026</x:v>
      </x:c>
      <x:c r="C76" s="10" t="n">
        <x:v>46072.958333333336</x:v>
      </x:c>
      <x:c r="D76" s="9" t="str">
        <x:v>Purchase</x:v>
      </x:c>
      <x:c r="E76" s="9" t="str">
        <x:v>BNZ bank (pre-import)</x:v>
      </x:c>
      <x:c r="F76" s="9" t="str">
        <x:v>Liquorland Albert To · 5996 · 420549201711</x:v>
      </x:c>
      <x:c r="G76" s="11" t="n">
        <x:v>31.97</x:v>
      </x:c>
      <x:c r="H76" s="11" t="n">
        <x:v>0</x:v>
      </x:c>
      <x:c r="I76" s="9" t="str">
        <x:v>N</x:v>
      </x:c>
      <x:c r="J76" s="9" t="str">
        <x:v>High</x:v>
      </x:c>
      <x:c r="K76" s="9" t="str">
        <x:v>Bank description</x:v>
      </x:c>
      <x:c r="L76" s="9" t="str">
        <x:v>Personal, transfer, tax, cash withdrawal, food or entertainment; no GST claim.</x:v>
      </x:c>
      <x:c r="M76" s="9" t="str">
        <x:v>gz9qjf</x:v>
      </x:c>
    </x:row>
    <x:row r="77" ht="15" hidden="0" customHeight="1">
      <x:c r="A77" s="9" t="str">
        <x:v>Invoice basis</x:v>
      </x:c>
      <x:c r="B77" s="9" t="str">
        <x:v>1 Feb-31 Jul 2026</x:v>
      </x:c>
      <x:c r="C77" s="10" t="n">
        <x:v>46073.958333333336</x:v>
      </x:c>
      <x:c r="D77" s="9" t="str">
        <x:v>Purchase</x:v>
      </x:c>
      <x:c r="E77" s="9" t="str">
        <x:v>BNZ bank (pre-import)</x:v>
      </x:c>
      <x:c r="F77" s="9" t="str">
        <x:v>THE ALBIE · 5996 · 434667211622</x:v>
      </x:c>
      <x:c r="G77" s="11" t="n">
        <x:v>40.48</x:v>
      </x:c>
      <x:c r="H77" s="11" t="n">
        <x:v>0</x:v>
      </x:c>
      <x:c r="I77" s="9" t="str">
        <x:v>N</x:v>
      </x:c>
      <x:c r="J77" s="9" t="str">
        <x:v>High</x:v>
      </x:c>
      <x:c r="K77" s="9" t="str">
        <x:v>Bank description</x:v>
      </x:c>
      <x:c r="L77" s="9" t="str">
        <x:v>Personal, transfer, tax, cash withdrawal, food or entertainment; no GST claim.</x:v>
      </x:c>
      <x:c r="M77" s="9" t="str">
        <x:v>1dtmnk</x:v>
      </x:c>
    </x:row>
    <x:row r="78" ht="15" hidden="0" customHeight="1">
      <x:c r="A78" s="9" t="str">
        <x:v>Invoice basis</x:v>
      </x:c>
      <x:c r="B78" s="9" t="str">
        <x:v>1 Feb-31 Jul 2026</x:v>
      </x:c>
      <x:c r="C78" s="10" t="n">
        <x:v>46073.958333333336</x:v>
      </x:c>
      <x:c r="D78" s="9" t="str">
        <x:v>Sale</x:v>
      </x:c>
      <x:c r="E78" s="9" t="str">
        <x:v>TradePilot invoice</x:v>
      </x:c>
      <x:c r="F78" s="9" t="str">
        <x:v>INV-J7 · deposit · Pass-2 backfill: deposit detected</x:v>
      </x:c>
      <x:c r="G78" s="11" t="n">
        <x:v>977.5</x:v>
      </x:c>
      <x:c r="H78" s="11" t="n">
        <x:v>127.5</x:v>
      </x:c>
      <x:c r="I78" s="9" t="str">
        <x:v>Y</x:v>
      </x:c>
      <x:c r="J78" s="9" t="str">
        <x:v>Medium</x:v>
      </x:c>
      <x:c r="K78" s="9" t="str">
        <x:v>TradePilot invoice record</x:v>
      </x:c>
      <x:c r="L78" s="9" t="str">
        <x:v>Invoice record used; payment date is earlier where applicable.</x:v>
      </x:c>
      <x:c r="M78" s="9" t="str">
        <x:v>INV-J7</x:v>
      </x:c>
    </x:row>
    <x:row r="79" ht="15" hidden="0" customHeight="1">
      <x:c r="A79" s="9" t="str">
        <x:v>Invoice basis</x:v>
      </x:c>
      <x:c r="B79" s="9" t="str">
        <x:v>1 Feb-31 Jul 2026</x:v>
      </x:c>
      <x:c r="C79" s="10" t="n">
        <x:v>46074.958333333336</x:v>
      </x:c>
      <x:c r="D79" s="9" t="str">
        <x:v>Purchase</x:v>
      </x:c>
      <x:c r="E79" s="9" t="str">
        <x:v>BNZ bank (pre-import)</x:v>
      </x:c>
      <x:c r="F79" s="9" t="str">
        <x:v>YouMoney · INTERNET XFR</x:v>
      </x:c>
      <x:c r="G79" s="11" t="n">
        <x:v>400</x:v>
      </x:c>
      <x:c r="H79" s="11" t="n">
        <x:v>0</x:v>
      </x:c>
      <x:c r="I79" s="9" t="str">
        <x:v>N</x:v>
      </x:c>
      <x:c r="J79" s="9" t="str">
        <x:v>High</x:v>
      </x:c>
      <x:c r="K79" s="9" t="str">
        <x:v>Bank description</x:v>
      </x:c>
      <x:c r="L79" s="9" t="str">
        <x:v>Personal, transfer, tax, cash withdrawal, food or entertainment; no GST claim.</x:v>
      </x:c>
      <x:c r="M79" s="9" t="str">
        <x:v>l7ax10</x:v>
      </x:c>
    </x:row>
    <x:row r="80" ht="15" hidden="0" customHeight="1">
      <x:c r="A80" s="9" t="str">
        <x:v>Invoice basis</x:v>
      </x:c>
      <x:c r="B80" s="9" t="str">
        <x:v>1 Feb-31 Jul 2026</x:v>
      </x:c>
      <x:c r="C80" s="10" t="n">
        <x:v>46074.958333333336</x:v>
      </x:c>
      <x:c r="D80" s="9" t="str">
        <x:v>Purchase</x:v>
      </x:c>
      <x:c r="E80" s="9" t="str">
        <x:v>BNZ bank (pre-import)</x:v>
      </x:c>
      <x:c r="F80" s="9" t="str">
        <x:v>BP CONNECT WANAKA · 5996 · 492102221009</x:v>
      </x:c>
      <x:c r="G80" s="11" t="n">
        <x:v>33.41</x:v>
      </x:c>
      <x:c r="H80" s="11" t="n">
        <x:v>4.36</x:v>
      </x:c>
      <x:c r="I80" s="9" t="str">
        <x:v>Y</x:v>
      </x:c>
      <x:c r="J80" s="9" t="str">
        <x:v>High</x:v>
      </x:c>
      <x:c r="K80" s="9" t="str">
        <x:v>Bank + TradePilot</x:v>
      </x:c>
      <x:c r="L80" s="9" t="str">
        <x:v>Business purchase.</x:v>
      </x:c>
      <x:c r="M80" s="9" t="str">
        <x:v>yms3gx</x:v>
      </x:c>
    </x:row>
    <x:row r="81" ht="15" hidden="0" customHeight="1">
      <x:c r="A81" s="9" t="str">
        <x:v>Invoice basis</x:v>
      </x:c>
      <x:c r="B81" s="9" t="str">
        <x:v>1 Feb-31 Jul 2026</x:v>
      </x:c>
      <x:c r="C81" s="10" t="n">
        <x:v>46074.958333333336</x:v>
      </x:c>
      <x:c r="D81" s="9" t="str">
        <x:v>Purchase</x:v>
      </x:c>
      <x:c r="E81" s="9" t="str">
        <x:v>BNZ bank (pre-import)</x:v>
      </x:c>
      <x:c r="F81" s="9" t="str">
        <x:v>Paddle &amp; Pint · 5996 · 420549221840</x:v>
      </x:c>
      <x:c r="G81" s="11" t="n">
        <x:v>22</x:v>
      </x:c>
      <x:c r="H81" s="11" t="n">
        <x:v>0</x:v>
      </x:c>
      <x:c r="I81" s="9" t="str">
        <x:v>N</x:v>
      </x:c>
      <x:c r="J81" s="9" t="str">
        <x:v>High</x:v>
      </x:c>
      <x:c r="K81" s="9" t="str">
        <x:v>Bank description</x:v>
      </x:c>
      <x:c r="L81" s="9" t="str">
        <x:v>Personal, transfer, tax, cash withdrawal, food or entertainment; no GST claim.</x:v>
      </x:c>
      <x:c r="M81" s="9" t="str">
        <x:v>jmebf5</x:v>
      </x:c>
    </x:row>
    <x:row r="82" ht="15" hidden="0" customHeight="1">
      <x:c r="A82" s="9" t="str">
        <x:v>Invoice basis</x:v>
      </x:c>
      <x:c r="B82" s="9" t="str">
        <x:v>1 Feb-31 Jul 2026</x:v>
      </x:c>
      <x:c r="C82" s="10" t="n">
        <x:v>46075.958333333336</x:v>
      </x:c>
      <x:c r="D82" s="9" t="str">
        <x:v>Purchase</x:v>
      </x:c>
      <x:c r="E82" s="9" t="str">
        <x:v>BNZ bank (pre-import)</x:v>
      </x:c>
      <x:c r="F82" s="9" t="str">
        <x:v>Resene - Wanaka 087 · 5996 · 420549230858</x:v>
      </x:c>
      <x:c r="G82" s="11" t="n">
        <x:v>180.25</x:v>
      </x:c>
      <x:c r="H82" s="11" t="n">
        <x:v>23.51</x:v>
      </x:c>
      <x:c r="I82" s="9" t="str">
        <x:v>Y</x:v>
      </x:c>
      <x:c r="J82" s="9" t="str">
        <x:v>High</x:v>
      </x:c>
      <x:c r="K82" s="9" t="str">
        <x:v>Bank + TradePilot</x:v>
      </x:c>
      <x:c r="L82" s="9" t="str">
        <x:v>Business purchase.</x:v>
      </x:c>
      <x:c r="M82" s="9" t="str">
        <x:v>jaauaz</x:v>
      </x:c>
    </x:row>
    <x:row r="83" ht="15" hidden="0" customHeight="1">
      <x:c r="A83" s="9" t="str">
        <x:v>Invoice basis</x:v>
      </x:c>
      <x:c r="B83" s="9" t="str">
        <x:v>1 Feb-31 Jul 2026</x:v>
      </x:c>
      <x:c r="C83" s="10" t="n">
        <x:v>46075.958333333336</x:v>
      </x:c>
      <x:c r="D83" s="9" t="str">
        <x:v>Purchase</x:v>
      </x:c>
      <x:c r="E83" s="9" t="str">
        <x:v>BNZ bank (pre-import)</x:v>
      </x:c>
      <x:c r="F83" s="9" t="str">
        <x:v>Resene - Wanaka 087 · 5996 · 420549230900</x:v>
      </x:c>
      <x:c r="G83" s="11" t="n">
        <x:v>19.95</x:v>
      </x:c>
      <x:c r="H83" s="11" t="n">
        <x:v>2.6</x:v>
      </x:c>
      <x:c r="I83" s="9" t="str">
        <x:v>Y</x:v>
      </x:c>
      <x:c r="J83" s="9" t="str">
        <x:v>High</x:v>
      </x:c>
      <x:c r="K83" s="9" t="str">
        <x:v>Bank + TradePilot</x:v>
      </x:c>
      <x:c r="L83" s="9" t="str">
        <x:v>Business purchase.</x:v>
      </x:c>
      <x:c r="M83" s="9" t="str">
        <x:v>ltkofd</x:v>
      </x:c>
    </x:row>
    <x:row r="84" ht="15" hidden="0" customHeight="1">
      <x:c r="A84" s="9" t="str">
        <x:v>Invoice basis</x:v>
      </x:c>
      <x:c r="B84" s="9" t="str">
        <x:v>1 Feb-31 Jul 2026</x:v>
      </x:c>
      <x:c r="C84" s="10" t="n">
        <x:v>46076.958333333336</x:v>
      </x:c>
      <x:c r="D84" s="9" t="str">
        <x:v>Purchase</x:v>
      </x:c>
      <x:c r="E84" s="9" t="str">
        <x:v>BNZ bank (pre-import)</x:v>
      </x:c>
      <x:c r="F84" s="9" t="str">
        <x:v>COLUMBUSCOFFEEWANAKA · 5996 · 434667241537</x:v>
      </x:c>
      <x:c r="G84" s="11" t="n">
        <x:v>14.07</x:v>
      </x:c>
      <x:c r="H84" s="11" t="n">
        <x:v>0</x:v>
      </x:c>
      <x:c r="I84" s="9" t="str">
        <x:v>N</x:v>
      </x:c>
      <x:c r="J84" s="9" t="str">
        <x:v>High</x:v>
      </x:c>
      <x:c r="K84" s="9" t="str">
        <x:v>Bank description</x:v>
      </x:c>
      <x:c r="L84" s="9" t="str">
        <x:v>Personal, transfer, tax, cash withdrawal, food or entertainment; no GST claim.</x:v>
      </x:c>
      <x:c r="M84" s="9" t="str">
        <x:v>1chhku</x:v>
      </x:c>
    </x:row>
    <x:row r="85" ht="15" hidden="0" customHeight="1">
      <x:c r="A85" s="9" t="str">
        <x:v>Invoice basis</x:v>
      </x:c>
      <x:c r="B85" s="9" t="str">
        <x:v>1 Feb-31 Jul 2026</x:v>
      </x:c>
      <x:c r="C85" s="10" t="n">
        <x:v>46076.958333333336</x:v>
      </x:c>
      <x:c r="D85" s="9" t="str">
        <x:v>Purchase</x:v>
      </x:c>
      <x:c r="E85" s="9" t="str">
        <x:v>BNZ bank (pre-import)</x:v>
      </x:c>
      <x:c r="F85" s="9" t="str">
        <x:v>MITRE 10 MEGA WANAKA · 5996 · 434667241543</x:v>
      </x:c>
      <x:c r="G85" s="11" t="n">
        <x:v>95.43</x:v>
      </x:c>
      <x:c r="H85" s="11" t="n">
        <x:v>12.45</x:v>
      </x:c>
      <x:c r="I85" s="9" t="str">
        <x:v>Y</x:v>
      </x:c>
      <x:c r="J85" s="9" t="str">
        <x:v>High</x:v>
      </x:c>
      <x:c r="K85" s="9" t="str">
        <x:v>Bank + TradePilot</x:v>
      </x:c>
      <x:c r="L85" s="9" t="str">
        <x:v>Business purchase.</x:v>
      </x:c>
      <x:c r="M85" s="9" t="str">
        <x:v>bm2udu</x:v>
      </x:c>
    </x:row>
    <x:row r="86" ht="15" hidden="0" customHeight="1">
      <x:c r="A86" s="9" t="str">
        <x:v>Invoice basis</x:v>
      </x:c>
      <x:c r="B86" s="9" t="str">
        <x:v>1 Feb-31 Jul 2026</x:v>
      </x:c>
      <x:c r="C86" s="10" t="n">
        <x:v>46076.958333333336</x:v>
      </x:c>
      <x:c r="D86" s="9" t="str">
        <x:v>Purchase</x:v>
      </x:c>
      <x:c r="E86" s="9" t="str">
        <x:v>BNZ bank (pre-import)</x:v>
      </x:c>
      <x:c r="F86" s="9" t="str">
        <x:v>Resene - Wanaka 087 · 5996 · 420549241208</x:v>
      </x:c>
      <x:c r="G86" s="11" t="n">
        <x:v>20.02</x:v>
      </x:c>
      <x:c r="H86" s="11" t="n">
        <x:v>2.61</x:v>
      </x:c>
      <x:c r="I86" s="9" t="str">
        <x:v>Y</x:v>
      </x:c>
      <x:c r="J86" s="9" t="str">
        <x:v>High</x:v>
      </x:c>
      <x:c r="K86" s="9" t="str">
        <x:v>Bank + TradePilot</x:v>
      </x:c>
      <x:c r="L86" s="9" t="str">
        <x:v>Business purchase.</x:v>
      </x:c>
      <x:c r="M86" s="9" t="str">
        <x:v>nwp2br</x:v>
      </x:c>
    </x:row>
    <x:row r="87" ht="15" hidden="0" customHeight="1">
      <x:c r="A87" s="9" t="str">
        <x:v>Invoice basis</x:v>
      </x:c>
      <x:c r="B87" s="9" t="str">
        <x:v>1 Feb-31 Jul 2026</x:v>
      </x:c>
      <x:c r="C87" s="10" t="n">
        <x:v>46076.958333333336</x:v>
      </x:c>
      <x:c r="D87" s="9" t="str">
        <x:v>Sale</x:v>
      </x:c>
      <x:c r="E87" s="9" t="str">
        <x:v>TradePilot invoice</x:v>
      </x:c>
      <x:c r="F87" s="9" t="str">
        <x:v>INV-J6 · final · Pass-2 backfill: from quote_amount</x:v>
      </x:c>
      <x:c r="G87" s="11" t="n">
        <x:v>414</x:v>
      </x:c>
      <x:c r="H87" s="11" t="n">
        <x:v>54</x:v>
      </x:c>
      <x:c r="I87" s="9" t="str">
        <x:v>Y</x:v>
      </x:c>
      <x:c r="J87" s="9" t="str">
        <x:v>Medium</x:v>
      </x:c>
      <x:c r="K87" s="9" t="str">
        <x:v>TradePilot invoice record</x:v>
      </x:c>
      <x:c r="L87" s="9" t="str">
        <x:v>Invoice record used; payment date is earlier where applicable.</x:v>
      </x:c>
      <x:c r="M87" s="9" t="str">
        <x:v>INV-J6</x:v>
      </x:c>
    </x:row>
    <x:row r="88" ht="15" hidden="0" customHeight="1">
      <x:c r="A88" s="9" t="str">
        <x:v>Invoice basis</x:v>
      </x:c>
      <x:c r="B88" s="9" t="str">
        <x:v>1 Feb-31 Jul 2026</x:v>
      </x:c>
      <x:c r="C88" s="10" t="n">
        <x:v>46077.958333333336</x:v>
      </x:c>
      <x:c r="D88" s="9" t="str">
        <x:v>Purchase</x:v>
      </x:c>
      <x:c r="E88" s="9" t="str">
        <x:v>BNZ bank (pre-import)</x:v>
      </x:c>
      <x:c r="F88" s="9" t="str">
        <x:v>Resene - Wanaka 087 · 5996 · 420549251415</x:v>
      </x:c>
      <x:c r="G88" s="11" t="n">
        <x:v>33.38</x:v>
      </x:c>
      <x:c r="H88" s="11" t="n">
        <x:v>4.35</x:v>
      </x:c>
      <x:c r="I88" s="9" t="str">
        <x:v>Y</x:v>
      </x:c>
      <x:c r="J88" s="9" t="str">
        <x:v>High</x:v>
      </x:c>
      <x:c r="K88" s="9" t="str">
        <x:v>Bank + TradePilot</x:v>
      </x:c>
      <x:c r="L88" s="9" t="str">
        <x:v>Business purchase.</x:v>
      </x:c>
      <x:c r="M88" s="9" t="str">
        <x:v>vhgmzu</x:v>
      </x:c>
    </x:row>
    <x:row r="89" ht="15" hidden="0" customHeight="1">
      <x:c r="A89" s="9" t="str">
        <x:v>Invoice basis</x:v>
      </x:c>
      <x:c r="B89" s="9" t="str">
        <x:v>1 Feb-31 Jul 2026</x:v>
      </x:c>
      <x:c r="C89" s="10" t="n">
        <x:v>46077.958333333336</x:v>
      </x:c>
      <x:c r="D89" s="9" t="str">
        <x:v>Purchase</x:v>
      </x:c>
      <x:c r="E89" s="9" t="str">
        <x:v>BNZ bank (pre-import)</x:v>
      </x:c>
      <x:c r="F89" s="9" t="str">
        <x:v>WITHDRAWAL · 554447505996 · 1212251655</x:v>
      </x:c>
      <x:c r="G89" s="11" t="n">
        <x:v>800</x:v>
      </x:c>
      <x:c r="H89" s="11" t="n">
        <x:v>0</x:v>
      </x:c>
      <x:c r="I89" s="9" t="str">
        <x:v>N</x:v>
      </x:c>
      <x:c r="J89" s="9" t="str">
        <x:v>High</x:v>
      </x:c>
      <x:c r="K89" s="9" t="str">
        <x:v>Bank description</x:v>
      </x:c>
      <x:c r="L89" s="9" t="str">
        <x:v>Personal, transfer, tax, cash withdrawal, food or entertainment; no GST claim.</x:v>
      </x:c>
      <x:c r="M89" s="9" t="str">
        <x:v>8xcd61</x:v>
      </x:c>
    </x:row>
    <x:row r="90" ht="15" hidden="0" customHeight="1">
      <x:c r="A90" s="9" t="str">
        <x:v>Invoice basis</x:v>
      </x:c>
      <x:c r="B90" s="9" t="str">
        <x:v>1 Feb-31 Jul 2026</x:v>
      </x:c>
      <x:c r="C90" s="10" t="n">
        <x:v>46077.958333333336</x:v>
      </x:c>
      <x:c r="D90" s="9" t="str">
        <x:v>Purchase</x:v>
      </x:c>
      <x:c r="E90" s="9" t="str">
        <x:v>BNZ bank (pre-import)</x:v>
      </x:c>
      <x:c r="F90" s="9" t="str">
        <x:v>WITHDRAWAL · 554447505996 · 1212251656</x:v>
      </x:c>
      <x:c r="G90" s="11" t="n">
        <x:v>800</x:v>
      </x:c>
      <x:c r="H90" s="11" t="n">
        <x:v>0</x:v>
      </x:c>
      <x:c r="I90" s="9" t="str">
        <x:v>N</x:v>
      </x:c>
      <x:c r="J90" s="9" t="str">
        <x:v>High</x:v>
      </x:c>
      <x:c r="K90" s="9" t="str">
        <x:v>Bank description</x:v>
      </x:c>
      <x:c r="L90" s="9" t="str">
        <x:v>Personal, transfer, tax, cash withdrawal, food or entertainment; no GST claim.</x:v>
      </x:c>
      <x:c r="M90" s="9" t="str">
        <x:v>8xcd62</x:v>
      </x:c>
    </x:row>
    <x:row r="91" ht="15" hidden="0" customHeight="1">
      <x:c r="A91" s="9" t="str">
        <x:v>Invoice basis</x:v>
      </x:c>
      <x:c r="B91" s="9" t="str">
        <x:v>1 Feb-31 Jul 2026</x:v>
      </x:c>
      <x:c r="C91" s="10" t="n">
        <x:v>46077.958333333336</x:v>
      </x:c>
      <x:c r="D91" s="9" t="str">
        <x:v>Purchase</x:v>
      </x:c>
      <x:c r="E91" s="9" t="str">
        <x:v>BNZ bank (pre-import)</x:v>
      </x:c>
      <x:c r="F91" s="9" t="str">
        <x:v>R F Builders · Kaj960 van</x:v>
      </x:c>
      <x:c r="G91" s="11" t="n">
        <x:v>7900</x:v>
      </x:c>
      <x:c r="H91" s="11" t="n">
        <x:v>0</x:v>
      </x:c>
      <x:c r="I91" s="9" t="str">
        <x:v>N</x:v>
      </x:c>
      <x:c r="J91" s="9" t="str">
        <x:v>Review</x:v>
      </x:c>
      <x:c r="K91" s="9" t="str">
        <x:v>Bank only; taxable supply information needed</x:v>
      </x:c>
      <x:c r="L91" s="9" t="str">
        <x:v>Possible $7,900 van purchase. Claim only if seller was GST-registered and Lakeside holds the required supply information.</x:v>
      </x:c>
      <x:c r="M91" s="9" t="str">
        <x:v>9e8r3t</x:v>
      </x:c>
    </x:row>
    <x:row r="92" ht="15" hidden="0" customHeight="1">
      <x:c r="A92" s="9" t="str">
        <x:v>Invoice basis</x:v>
      </x:c>
      <x:c r="B92" s="9" t="str">
        <x:v>1 Feb-31 Jul 2026</x:v>
      </x:c>
      <x:c r="C92" s="10" t="n">
        <x:v>46078.958333333336</x:v>
      </x:c>
      <x:c r="D92" s="9" t="str">
        <x:v>Purchase</x:v>
      </x:c>
      <x:c r="E92" s="9" t="str">
        <x:v>BNZ bank (pre-import)</x:v>
      </x:c>
      <x:c r="F92" s="9" t="str">
        <x:v>BP CONNECT WANAKA · 5996 · 492102261539</x:v>
      </x:c>
      <x:c r="G92" s="11" t="n">
        <x:v>130.38</x:v>
      </x:c>
      <x:c r="H92" s="11" t="n">
        <x:v>17.01</x:v>
      </x:c>
      <x:c r="I92" s="9" t="str">
        <x:v>Y</x:v>
      </x:c>
      <x:c r="J92" s="9" t="str">
        <x:v>High</x:v>
      </x:c>
      <x:c r="K92" s="9" t="str">
        <x:v>Bank + TradePilot</x:v>
      </x:c>
      <x:c r="L92" s="9" t="str">
        <x:v>Business purchase.</x:v>
      </x:c>
      <x:c r="M92" s="9" t="str">
        <x:v>t68o9h</x:v>
      </x:c>
    </x:row>
    <x:row r="93" ht="15" hidden="0" customHeight="1">
      <x:c r="A93" s="9" t="str">
        <x:v>Invoice basis</x:v>
      </x:c>
      <x:c r="B93" s="9" t="str">
        <x:v>1 Feb-31 Jul 2026</x:v>
      </x:c>
      <x:c r="C93" s="10" t="n">
        <x:v>46078.958333333336</x:v>
      </x:c>
      <x:c r="D93" s="9" t="str">
        <x:v>Purchase</x:v>
      </x:c>
      <x:c r="E93" s="9" t="str">
        <x:v>BNZ bank (pre-import)</x:v>
      </x:c>
      <x:c r="F93" s="9" t="str">
        <x:v>MITRE 10 CROMWELL · 5996 · 434667261354</x:v>
      </x:c>
      <x:c r="G93" s="11" t="n">
        <x:v>5.08</x:v>
      </x:c>
      <x:c r="H93" s="11" t="n">
        <x:v>0.66</x:v>
      </x:c>
      <x:c r="I93" s="9" t="str">
        <x:v>Y</x:v>
      </x:c>
      <x:c r="J93" s="9" t="str">
        <x:v>High</x:v>
      </x:c>
      <x:c r="K93" s="9" t="str">
        <x:v>Bank + TradePilot</x:v>
      </x:c>
      <x:c r="L93" s="9" t="str">
        <x:v>Business purchase.</x:v>
      </x:c>
      <x:c r="M93" s="9" t="str">
        <x:v>r3jdea</x:v>
      </x:c>
    </x:row>
    <x:row r="94" ht="15" hidden="0" customHeight="1">
      <x:c r="A94" s="9" t="str">
        <x:v>Invoice basis</x:v>
      </x:c>
      <x:c r="B94" s="9" t="str">
        <x:v>1 Feb-31 Jul 2026</x:v>
      </x:c>
      <x:c r="C94" s="10" t="n">
        <x:v>46079.958333333336</x:v>
      </x:c>
      <x:c r="D94" s="9" t="str">
        <x:v>Purchase</x:v>
      </x:c>
      <x:c r="E94" s="9" t="str">
        <x:v>BNZ bank (pre-import)</x:v>
      </x:c>
      <x:c r="F94" s="9" t="str">
        <x:v>Taskhound Limited</x:v>
      </x:c>
      <x:c r="G94" s="11" t="n">
        <x:v>391</x:v>
      </x:c>
      <x:c r="H94" s="11" t="n">
        <x:v>51</x:v>
      </x:c>
      <x:c r="I94" s="9" t="str">
        <x:v>Y</x:v>
      </x:c>
      <x:c r="J94" s="9" t="str">
        <x:v>High</x:v>
      </x:c>
      <x:c r="K94" s="9" t="str">
        <x:v>Bank + TradePilot</x:v>
      </x:c>
      <x:c r="L94" s="9" t="str">
        <x:v>Business purchase.</x:v>
      </x:c>
      <x:c r="M94" s="9" t="str">
        <x:v>q3q8hh</x:v>
      </x:c>
    </x:row>
    <x:row r="95" ht="15" hidden="0" customHeight="1">
      <x:c r="A95" s="9" t="str">
        <x:v>Invoice basis</x:v>
      </x:c>
      <x:c r="B95" s="9" t="str">
        <x:v>1 Feb-31 Jul 2026</x:v>
      </x:c>
      <x:c r="C95" s="10" t="n">
        <x:v>46079.958333333336</x:v>
      </x:c>
      <x:c r="D95" s="9" t="str">
        <x:v>Purchase</x:v>
      </x:c>
      <x:c r="E95" s="9" t="str">
        <x:v>BNZ bank (pre-import)</x:v>
      </x:c>
      <x:c r="F95" s="9" t="str">
        <x:v>SP TOOL JUNCTION NZ · 5996 · 448131271819</x:v>
      </x:c>
      <x:c r="G95" s="11" t="n">
        <x:v>1750.3</x:v>
      </x:c>
      <x:c r="H95" s="11" t="n">
        <x:v>228.3</x:v>
      </x:c>
      <x:c r="I95" s="9" t="str">
        <x:v>Y</x:v>
      </x:c>
      <x:c r="J95" s="9" t="str">
        <x:v>High</x:v>
      </x:c>
      <x:c r="K95" s="9" t="str">
        <x:v>Bank + TradePilot</x:v>
      </x:c>
      <x:c r="L95" s="9" t="str">
        <x:v>Business purchase.</x:v>
      </x:c>
      <x:c r="M95" s="9" t="str">
        <x:v>teds8g</x:v>
      </x:c>
    </x:row>
    <x:row r="96" ht="15" hidden="0" customHeight="1">
      <x:c r="A96" s="9" t="str">
        <x:v>Invoice basis</x:v>
      </x:c>
      <x:c r="B96" s="9" t="str">
        <x:v>1 Feb-31 Jul 2026</x:v>
      </x:c>
      <x:c r="C96" s="10" t="n">
        <x:v>46080.958333333336</x:v>
      </x:c>
      <x:c r="D96" s="9" t="str">
        <x:v>Purchase</x:v>
      </x:c>
      <x:c r="E96" s="9" t="str">
        <x:v>BNZ bank (pre-import)</x:v>
      </x:c>
      <x:c r="F96" s="9" t="str">
        <x:v>THE SECRET SAUNA · 5996 · 448131271947</x:v>
      </x:c>
      <x:c r="G96" s="11" t="n">
        <x:v>66.03</x:v>
      </x:c>
      <x:c r="H96" s="11" t="n">
        <x:v>0</x:v>
      </x:c>
      <x:c r="I96" s="9" t="str">
        <x:v>N</x:v>
      </x:c>
      <x:c r="J96" s="9" t="str">
        <x:v>High</x:v>
      </x:c>
      <x:c r="K96" s="9" t="str">
        <x:v>Bank description</x:v>
      </x:c>
      <x:c r="L96" s="9" t="str">
        <x:v>Personal, transfer, tax, cash withdrawal, food or entertainment; no GST claim.</x:v>
      </x:c>
      <x:c r="M96" s="9" t="str">
        <x:v>c9y0ce</x:v>
      </x:c>
    </x:row>
    <x:row r="97" ht="15" hidden="0" customHeight="1">
      <x:c r="A97" s="9" t="str">
        <x:v>Invoice basis</x:v>
      </x:c>
      <x:c r="B97" s="9" t="str">
        <x:v>1 Feb-31 Jul 2026</x:v>
      </x:c>
      <x:c r="C97" s="10" t="n">
        <x:v>46080.958333333336</x:v>
      </x:c>
      <x:c r="D97" s="9" t="str">
        <x:v>Sale</x:v>
      </x:c>
      <x:c r="E97" s="9" t="str">
        <x:v>TradePilot invoice</x:v>
      </x:c>
      <x:c r="F97" s="9" t="str">
        <x:v>INV-J10 · deposit · Pass-2 backfill: deposit detected</x:v>
      </x:c>
      <x:c r="G97" s="11" t="n">
        <x:v>338</x:v>
      </x:c>
      <x:c r="H97" s="11" t="n">
        <x:v>44.09</x:v>
      </x:c>
      <x:c r="I97" s="9" t="str">
        <x:v>Y</x:v>
      </x:c>
      <x:c r="J97" s="9" t="str">
        <x:v>Medium</x:v>
      </x:c>
      <x:c r="K97" s="9" t="str">
        <x:v>TradePilot invoice record</x:v>
      </x:c>
      <x:c r="L97" s="9" t="str">
        <x:v>Invoice record used; payment date is earlier where applicable.</x:v>
      </x:c>
      <x:c r="M97" s="9" t="str">
        <x:v>INV-J10</x:v>
      </x:c>
    </x:row>
    <x:row r="98" ht="15" hidden="0" customHeight="1">
      <x:c r="A98" s="9" t="str">
        <x:v>Invoice basis</x:v>
      </x:c>
      <x:c r="B98" s="9" t="str">
        <x:v>1 Feb-31 Jul 2026</x:v>
      </x:c>
      <x:c r="C98" s="10" t="n">
        <x:v>46081.958333333336</x:v>
      </x:c>
      <x:c r="D98" s="9" t="str">
        <x:v>Sale</x:v>
      </x:c>
      <x:c r="E98" s="9" t="str">
        <x:v>TradePilot invoice</x:v>
      </x:c>
      <x:c r="F98" s="9" t="str">
        <x:v>INV-J9 · deposit · Pass-2 backfill: deposit detected</x:v>
      </x:c>
      <x:c r="G98" s="11" t="n">
        <x:v>290</x:v>
      </x:c>
      <x:c r="H98" s="11" t="n">
        <x:v>37.83</x:v>
      </x:c>
      <x:c r="I98" s="9" t="str">
        <x:v>Y</x:v>
      </x:c>
      <x:c r="J98" s="9" t="str">
        <x:v>Medium</x:v>
      </x:c>
      <x:c r="K98" s="9" t="str">
        <x:v>TradePilot invoice record</x:v>
      </x:c>
      <x:c r="L98" s="9" t="str">
        <x:v>Invoice record used; payment date is earlier where applicable.</x:v>
      </x:c>
      <x:c r="M98" s="9" t="str">
        <x:v>INV-J9</x:v>
      </x:c>
    </x:row>
    <x:row r="99" ht="15" hidden="0" customHeight="1">
      <x:c r="A99" s="9" t="str">
        <x:v>Invoice basis</x:v>
      </x:c>
      <x:c r="B99" s="9" t="str">
        <x:v>1 Feb-31 Jul 2026</x:v>
      </x:c>
      <x:c r="C99" s="10" t="n">
        <x:v>46082.958333333336</x:v>
      </x:c>
      <x:c r="D99" s="9" t="str">
        <x:v>Purchase</x:v>
      </x:c>
      <x:c r="E99" s="9" t="str">
        <x:v>BNZ bank (pre-import)</x:v>
      </x:c>
      <x:c r="F99" s="9" t="str">
        <x:v>Resene - Wanaka 087 · 5996 · 420549021203</x:v>
      </x:c>
      <x:c r="G99" s="11" t="n">
        <x:v>49.18</x:v>
      </x:c>
      <x:c r="H99" s="11" t="n">
        <x:v>6.41</x:v>
      </x:c>
      <x:c r="I99" s="9" t="str">
        <x:v>Y</x:v>
      </x:c>
      <x:c r="J99" s="9" t="str">
        <x:v>High</x:v>
      </x:c>
      <x:c r="K99" s="9" t="str">
        <x:v>Bank + TradePilot</x:v>
      </x:c>
      <x:c r="L99" s="9" t="str">
        <x:v>Business purchase.</x:v>
      </x:c>
      <x:c r="M99" s="9" t="str">
        <x:v>l0c1l9</x:v>
      </x:c>
    </x:row>
    <x:row r="100" ht="15" hidden="0" customHeight="1">
      <x:c r="A100" s="9" t="str">
        <x:v>Invoice basis</x:v>
      </x:c>
      <x:c r="B100" s="9" t="str">
        <x:v>1 Feb-31 Jul 2026</x:v>
      </x:c>
      <x:c r="C100" s="10" t="n">
        <x:v>46082.958333333336</x:v>
      </x:c>
      <x:c r="D100" s="9" t="str">
        <x:v>Purchase</x:v>
      </x:c>
      <x:c r="E100" s="9" t="str">
        <x:v>BNZ bank (pre-import)</x:v>
      </x:c>
      <x:c r="F100" s="9" t="str">
        <x:v>CLAUDE.AI SUBSCRIPTI · 5996 · 401134022028</x:v>
      </x:c>
      <x:c r="G100" s="11" t="n">
        <x:v>40</x:v>
      </x:c>
      <x:c r="H100" s="11" t="n">
        <x:v>5.22</x:v>
      </x:c>
      <x:c r="I100" s="9" t="str">
        <x:v>Y</x:v>
      </x:c>
      <x:c r="J100" s="9" t="str">
        <x:v>Review</x:v>
      </x:c>
      <x:c r="K100" s="9" t="str">
        <x:v>Bank + TradePilot; check supplier invoice shows NZ GST</x:v>
      </x:c>
      <x:c r="L100" s="9" t="str">
        <x:v>Included provisionally; overseas software is claimable only if NZ GST was actually charged.</x:v>
      </x:c>
      <x:c r="M100" s="9" t="str">
        <x:v>a5j3c3</x:v>
      </x:c>
    </x:row>
    <x:row r="101" ht="15" hidden="0" customHeight="1">
      <x:c r="A101" s="9" t="str">
        <x:v>Invoice basis</x:v>
      </x:c>
      <x:c r="B101" s="9" t="str">
        <x:v>1 Feb-31 Jul 2026</x:v>
      </x:c>
      <x:c r="C101" s="10" t="n">
        <x:v>46082.958333333336</x:v>
      </x:c>
      <x:c r="D101" s="9" t="str">
        <x:v>Purchase</x:v>
      </x:c>
      <x:c r="E101" s="9" t="str">
        <x:v>BNZ bank (pre-import)</x:v>
      </x:c>
      <x:c r="F101" s="9" t="str">
        <x:v>CURSOR  AI POWERED I · 5996 · 401134022136</x:v>
      </x:c>
      <x:c r="G101" s="11" t="n">
        <x:v>34.81</x:v>
      </x:c>
      <x:c r="H101" s="11" t="n">
        <x:v>4.54</x:v>
      </x:c>
      <x:c r="I101" s="9" t="str">
        <x:v>Y</x:v>
      </x:c>
      <x:c r="J101" s="9" t="str">
        <x:v>Review</x:v>
      </x:c>
      <x:c r="K101" s="9" t="str">
        <x:v>Bank + TradePilot; check supplier invoice shows NZ GST</x:v>
      </x:c>
      <x:c r="L101" s="9" t="str">
        <x:v>Included provisionally; overseas software is claimable only if NZ GST was actually charged.</x:v>
      </x:c>
      <x:c r="M101" s="9" t="str">
        <x:v>8t59iw</x:v>
      </x:c>
    </x:row>
    <x:row r="102" ht="15" hidden="0" customHeight="1">
      <x:c r="A102" s="9" t="str">
        <x:v>Invoice basis</x:v>
      </x:c>
      <x:c r="B102" s="9" t="str">
        <x:v>1 Feb-31 Jul 2026</x:v>
      </x:c>
      <x:c r="C102" s="10" t="n">
        <x:v>46083.958333333336</x:v>
      </x:c>
      <x:c r="D102" s="9" t="str">
        <x:v>Purchase</x:v>
      </x:c>
      <x:c r="E102" s="9" t="str">
        <x:v>BNZ bank (pre-import)</x:v>
      </x:c>
      <x:c r="F102" s="9" t="str">
        <x:v>Resene - Wanaka 087 · 5996 · 420549030903</x:v>
      </x:c>
      <x:c r="G102" s="11" t="n">
        <x:v>407.89</x:v>
      </x:c>
      <x:c r="H102" s="11" t="n">
        <x:v>53.2</x:v>
      </x:c>
      <x:c r="I102" s="9" t="str">
        <x:v>Y</x:v>
      </x:c>
      <x:c r="J102" s="9" t="str">
        <x:v>High</x:v>
      </x:c>
      <x:c r="K102" s="9" t="str">
        <x:v>Bank + TradePilot</x:v>
      </x:c>
      <x:c r="L102" s="9" t="str">
        <x:v>Business purchase.</x:v>
      </x:c>
      <x:c r="M102" s="9" t="str">
        <x:v>scbx7v</x:v>
      </x:c>
    </x:row>
    <x:row r="103" ht="15" hidden="0" customHeight="1">
      <x:c r="A103" s="9" t="str">
        <x:v>Invoice basis</x:v>
      </x:c>
      <x:c r="B103" s="9" t="str">
        <x:v>1 Feb-31 Jul 2026</x:v>
      </x:c>
      <x:c r="C103" s="10" t="n">
        <x:v>46083.958333333336</x:v>
      </x:c>
      <x:c r="D103" s="9" t="str">
        <x:v>Purchase</x:v>
      </x:c>
      <x:c r="E103" s="9" t="str">
        <x:v>BNZ bank (pre-import)</x:v>
      </x:c>
      <x:c r="F103" s="9" t="str">
        <x:v>Four Square Albertto · 5996 · 420549031254</x:v>
      </x:c>
      <x:c r="G103" s="11" t="n">
        <x:v>11.77</x:v>
      </x:c>
      <x:c r="H103" s="11" t="n">
        <x:v>0</x:v>
      </x:c>
      <x:c r="I103" s="9" t="str">
        <x:v>N</x:v>
      </x:c>
      <x:c r="J103" s="9" t="str">
        <x:v>High</x:v>
      </x:c>
      <x:c r="K103" s="9" t="str">
        <x:v>Bank description</x:v>
      </x:c>
      <x:c r="L103" s="9" t="str">
        <x:v>Personal, transfer, tax, cash withdrawal, food or entertainment; no GST claim.</x:v>
      </x:c>
      <x:c r="M103" s="9" t="str">
        <x:v>gz3hns</x:v>
      </x:c>
    </x:row>
    <x:row r="104" ht="15" hidden="0" customHeight="1">
      <x:c r="A104" s="9" t="str">
        <x:v>Invoice basis</x:v>
      </x:c>
      <x:c r="B104" s="9" t="str">
        <x:v>1 Feb-31 Jul 2026</x:v>
      </x:c>
      <x:c r="C104" s="10" t="n">
        <x:v>46083.958333333336</x:v>
      </x:c>
      <x:c r="D104" s="9" t="str">
        <x:v>Sale</x:v>
      </x:c>
      <x:c r="E104" s="9" t="str">
        <x:v>TradePilot invoice</x:v>
      </x:c>
      <x:c r="F104" s="9" t="str">
        <x:v>INV-J4-F · final · Pass-2 backfill: final balance after deposit</x:v>
      </x:c>
      <x:c r="G104" s="11" t="n">
        <x:v>4669</x:v>
      </x:c>
      <x:c r="H104" s="11" t="n">
        <x:v>609</x:v>
      </x:c>
      <x:c r="I104" s="9" t="str">
        <x:v>Y</x:v>
      </x:c>
      <x:c r="J104" s="9" t="str">
        <x:v>Medium</x:v>
      </x:c>
      <x:c r="K104" s="9" t="str">
        <x:v>TradePilot invoice record</x:v>
      </x:c>
      <x:c r="L104" s="9" t="str">
        <x:v>Invoice record used; payment date is earlier where applicable.</x:v>
      </x:c>
      <x:c r="M104" s="9" t="str">
        <x:v>INV-J4-F</x:v>
      </x:c>
    </x:row>
    <x:row r="105" ht="15" hidden="0" customHeight="1">
      <x:c r="A105" s="9" t="str">
        <x:v>Invoice basis</x:v>
      </x:c>
      <x:c r="B105" s="9" t="str">
        <x:v>1 Feb-31 Jul 2026</x:v>
      </x:c>
      <x:c r="C105" s="10" t="n">
        <x:v>46084.958333333336</x:v>
      </x:c>
      <x:c r="D105" s="9" t="str">
        <x:v>Purchase</x:v>
      </x:c>
      <x:c r="E105" s="9" t="str">
        <x:v>BNZ bank (pre-import)</x:v>
      </x:c>
      <x:c r="F105" s="9" t="str">
        <x:v>Four Square Albertto · 5996 · 420549041024</x:v>
      </x:c>
      <x:c r="G105" s="11" t="n">
        <x:v>24.12</x:v>
      </x:c>
      <x:c r="H105" s="11" t="n">
        <x:v>0</x:v>
      </x:c>
      <x:c r="I105" s="9" t="str">
        <x:v>N</x:v>
      </x:c>
      <x:c r="J105" s="9" t="str">
        <x:v>High</x:v>
      </x:c>
      <x:c r="K105" s="9" t="str">
        <x:v>Bank description</x:v>
      </x:c>
      <x:c r="L105" s="9" t="str">
        <x:v>Personal, transfer, tax, cash withdrawal, food or entertainment; no GST claim.</x:v>
      </x:c>
      <x:c r="M105" s="9" t="str">
        <x:v>mh9wby</x:v>
      </x:c>
    </x:row>
    <x:row r="106" ht="15" hidden="0" customHeight="1">
      <x:c r="A106" s="9" t="str">
        <x:v>Invoice basis</x:v>
      </x:c>
      <x:c r="B106" s="9" t="str">
        <x:v>1 Feb-31 Jul 2026</x:v>
      </x:c>
      <x:c r="C106" s="10" t="n">
        <x:v>46084.958333333336</x:v>
      </x:c>
      <x:c r="D106" s="9" t="str">
        <x:v>Purchase</x:v>
      </x:c>
      <x:c r="E106" s="9" t="str">
        <x:v>BNZ bank (pre-import)</x:v>
      </x:c>
      <x:c r="F106" s="9" t="str">
        <x:v>R &amp; S TRADE CENTRE · 5996 · 492102041625</x:v>
      </x:c>
      <x:c r="G106" s="11" t="n">
        <x:v>112.41</x:v>
      </x:c>
      <x:c r="H106" s="11" t="n">
        <x:v>14.66</x:v>
      </x:c>
      <x:c r="I106" s="9" t="str">
        <x:v>Y</x:v>
      </x:c>
      <x:c r="J106" s="9" t="str">
        <x:v>High</x:v>
      </x:c>
      <x:c r="K106" s="9" t="str">
        <x:v>Bank + TradePilot</x:v>
      </x:c>
      <x:c r="L106" s="9" t="str">
        <x:v>Business purchase.</x:v>
      </x:c>
      <x:c r="M106" s="9" t="str">
        <x:v>42wo7l</x:v>
      </x:c>
    </x:row>
    <x:row r="107" ht="15" hidden="0" customHeight="1">
      <x:c r="A107" s="9" t="str">
        <x:v>Invoice basis</x:v>
      </x:c>
      <x:c r="B107" s="9" t="str">
        <x:v>1 Feb-31 Jul 2026</x:v>
      </x:c>
      <x:c r="C107" s="10" t="n">
        <x:v>46085.958333333336</x:v>
      </x:c>
      <x:c r="D107" s="9" t="str">
        <x:v>Purchase</x:v>
      </x:c>
      <x:c r="E107" s="9" t="str">
        <x:v>BNZ bank (pre-import)</x:v>
      </x:c>
      <x:c r="F107" s="9" t="str">
        <x:v>Resene - Wanaka 087 · 5996 · 420549051536</x:v>
      </x:c>
      <x:c r="G107" s="11" t="n">
        <x:v>160.43</x:v>
      </x:c>
      <x:c r="H107" s="11" t="n">
        <x:v>20.93</x:v>
      </x:c>
      <x:c r="I107" s="9" t="str">
        <x:v>Y</x:v>
      </x:c>
      <x:c r="J107" s="9" t="str">
        <x:v>High</x:v>
      </x:c>
      <x:c r="K107" s="9" t="str">
        <x:v>Bank + TradePilot</x:v>
      </x:c>
      <x:c r="L107" s="9" t="str">
        <x:v>Business purchase.</x:v>
      </x:c>
      <x:c r="M107" s="9" t="str">
        <x:v>uqpjfo</x:v>
      </x:c>
    </x:row>
    <x:row r="108" ht="15" hidden="0" customHeight="1">
      <x:c r="A108" s="9" t="str">
        <x:v>Invoice basis</x:v>
      </x:c>
      <x:c r="B108" s="9" t="str">
        <x:v>1 Feb-31 Jul 2026</x:v>
      </x:c>
      <x:c r="C108" s="10" t="n">
        <x:v>46085.958333333336</x:v>
      </x:c>
      <x:c r="D108" s="9" t="str">
        <x:v>Sale</x:v>
      </x:c>
      <x:c r="E108" s="9" t="str">
        <x:v>TradePilot invoice</x:v>
      </x:c>
      <x:c r="F108" s="9" t="str">
        <x:v>INV-J9-F · final · Pass-2 backfill: final balance after deposit</x:v>
      </x:c>
      <x:c r="G108" s="11" t="n">
        <x:v>1182</x:v>
      </x:c>
      <x:c r="H108" s="11" t="n">
        <x:v>154.17</x:v>
      </x:c>
      <x:c r="I108" s="9" t="str">
        <x:v>Y</x:v>
      </x:c>
      <x:c r="J108" s="9" t="str">
        <x:v>Medium</x:v>
      </x:c>
      <x:c r="K108" s="9" t="str">
        <x:v>TradePilot invoice record</x:v>
      </x:c>
      <x:c r="L108" s="9" t="str">
        <x:v>Invoice record used; payment date is earlier where applicable.</x:v>
      </x:c>
      <x:c r="M108" s="9" t="str">
        <x:v>INV-J9-F</x:v>
      </x:c>
    </x:row>
    <x:row r="109" ht="15" hidden="0" customHeight="1">
      <x:c r="A109" s="9" t="str">
        <x:v>Invoice basis</x:v>
      </x:c>
      <x:c r="B109" s="9" t="str">
        <x:v>1 Feb-31 Jul 2026</x:v>
      </x:c>
      <x:c r="C109" s="10" t="n">
        <x:v>46086.958333333336</x:v>
      </x:c>
      <x:c r="D109" s="9" t="str">
        <x:v>Purchase</x:v>
      </x:c>
      <x:c r="E109" s="9" t="str">
        <x:v>BNZ bank (pre-import)</x:v>
      </x:c>
      <x:c r="F109" s="9" t="str">
        <x:v>Inland Revenue · 5996 · 454860061152</x:v>
      </x:c>
      <x:c r="G109" s="11" t="n">
        <x:v>106.91</x:v>
      </x:c>
      <x:c r="H109" s="11" t="n">
        <x:v>0</x:v>
      </x:c>
      <x:c r="I109" s="9" t="str">
        <x:v>N</x:v>
      </x:c>
      <x:c r="J109" s="9" t="str">
        <x:v>High</x:v>
      </x:c>
      <x:c r="K109" s="9" t="str">
        <x:v>Bank description</x:v>
      </x:c>
      <x:c r="L109" s="9" t="str">
        <x:v>Personal, transfer, tax, cash withdrawal, food or entertainment; no GST claim.</x:v>
      </x:c>
      <x:c r="M109" s="9" t="str">
        <x:v>j26oaz</x:v>
      </x:c>
    </x:row>
    <x:row r="110" ht="15" hidden="0" customHeight="1">
      <x:c r="A110" s="9" t="str">
        <x:v>Invoice basis</x:v>
      </x:c>
      <x:c r="B110" s="9" t="str">
        <x:v>1 Feb-31 Jul 2026</x:v>
      </x:c>
      <x:c r="C110" s="10" t="n">
        <x:v>46086.958333333336</x:v>
      </x:c>
      <x:c r="D110" s="9" t="str">
        <x:v>Purchase</x:v>
      </x:c>
      <x:c r="E110" s="9" t="str">
        <x:v>BNZ bank (pre-import)</x:v>
      </x:c>
      <x:c r="F110" s="9" t="str">
        <x:v>IRD Conv Fee · 5996 · 454860061152</x:v>
      </x:c>
      <x:c r="G110" s="11" t="n">
        <x:v>1.52</x:v>
      </x:c>
      <x:c r="H110" s="11" t="n">
        <x:v>0</x:v>
      </x:c>
      <x:c r="I110" s="9" t="str">
        <x:v>N</x:v>
      </x:c>
      <x:c r="J110" s="9" t="str">
        <x:v>High</x:v>
      </x:c>
      <x:c r="K110" s="9" t="str">
        <x:v>Bank description</x:v>
      </x:c>
      <x:c r="L110" s="9" t="str">
        <x:v>Personal, transfer, tax, cash withdrawal, food or entertainment; no GST claim.</x:v>
      </x:c>
      <x:c r="M110" s="9" t="str">
        <x:v>p3tedd</x:v>
      </x:c>
    </x:row>
    <x:row r="111" ht="15" hidden="0" customHeight="1">
      <x:c r="A111" s="9" t="str">
        <x:v>Invoice basis</x:v>
      </x:c>
      <x:c r="B111" s="9" t="str">
        <x:v>1 Feb-31 Jul 2026</x:v>
      </x:c>
      <x:c r="C111" s="10" t="n">
        <x:v>46086.958333333336</x:v>
      </x:c>
      <x:c r="D111" s="9" t="str">
        <x:v>Purchase</x:v>
      </x:c>
      <x:c r="E111" s="9" t="str">
        <x:v>BNZ bank (pre-import)</x:v>
      </x:c>
      <x:c r="F111" s="9" t="str">
        <x:v>Inland Revenue · 5996 · 454860061152</x:v>
      </x:c>
      <x:c r="G111" s="11" t="n">
        <x:v>50</x:v>
      </x:c>
      <x:c r="H111" s="11" t="n">
        <x:v>0</x:v>
      </x:c>
      <x:c r="I111" s="9" t="str">
        <x:v>N</x:v>
      </x:c>
      <x:c r="J111" s="9" t="str">
        <x:v>High</x:v>
      </x:c>
      <x:c r="K111" s="9" t="str">
        <x:v>Bank description</x:v>
      </x:c>
      <x:c r="L111" s="9" t="str">
        <x:v>Personal, transfer, tax, cash withdrawal, food or entertainment; no GST claim.</x:v>
      </x:c>
      <x:c r="M111" s="9" t="str">
        <x:v>wkaav</x:v>
      </x:c>
    </x:row>
    <x:row r="112" ht="15" hidden="0" customHeight="1">
      <x:c r="A112" s="9" t="str">
        <x:v>Invoice basis</x:v>
      </x:c>
      <x:c r="B112" s="9" t="str">
        <x:v>1 Feb-31 Jul 2026</x:v>
      </x:c>
      <x:c r="C112" s="10" t="n">
        <x:v>46086.958333333336</x:v>
      </x:c>
      <x:c r="D112" s="9" t="str">
        <x:v>Purchase</x:v>
      </x:c>
      <x:c r="E112" s="9" t="str">
        <x:v>BNZ bank (pre-import)</x:v>
      </x:c>
      <x:c r="F112" s="9" t="str">
        <x:v>IRD Conv Fee · 5996 · 454860061152</x:v>
      </x:c>
      <x:c r="G112" s="11" t="n">
        <x:v>0.71</x:v>
      </x:c>
      <x:c r="H112" s="11" t="n">
        <x:v>0</x:v>
      </x:c>
      <x:c r="I112" s="9" t="str">
        <x:v>N</x:v>
      </x:c>
      <x:c r="J112" s="9" t="str">
        <x:v>High</x:v>
      </x:c>
      <x:c r="K112" s="9" t="str">
        <x:v>Bank description</x:v>
      </x:c>
      <x:c r="L112" s="9" t="str">
        <x:v>Personal, transfer, tax, cash withdrawal, food or entertainment; no GST claim.</x:v>
      </x:c>
      <x:c r="M112" s="9" t="str">
        <x:v>aqagbj</x:v>
      </x:c>
    </x:row>
    <x:row r="113" ht="15" hidden="0" customHeight="1">
      <x:c r="A113" s="9" t="str">
        <x:v>Invoice basis</x:v>
      </x:c>
      <x:c r="B113" s="9" t="str">
        <x:v>1 Feb-31 Jul 2026</x:v>
      </x:c>
      <x:c r="C113" s="10" t="n">
        <x:v>46086.958333333336</x:v>
      </x:c>
      <x:c r="D113" s="9" t="str">
        <x:v>Purchase</x:v>
      </x:c>
      <x:c r="E113" s="9" t="str">
        <x:v>BNZ bank (pre-import)</x:v>
      </x:c>
      <x:c r="F113" s="9" t="str">
        <x:v>UBER *EATS HELP.UBER · 5996 · 453241061808</x:v>
      </x:c>
      <x:c r="G113" s="11" t="n">
        <x:v>40.69</x:v>
      </x:c>
      <x:c r="H113" s="11" t="n">
        <x:v>0</x:v>
      </x:c>
      <x:c r="I113" s="9" t="str">
        <x:v>N</x:v>
      </x:c>
      <x:c r="J113" s="9" t="str">
        <x:v>High</x:v>
      </x:c>
      <x:c r="K113" s="9" t="str">
        <x:v>Bank description</x:v>
      </x:c>
      <x:c r="L113" s="9" t="str">
        <x:v>Personal, transfer, tax, cash withdrawal, food or entertainment; no GST claim.</x:v>
      </x:c>
      <x:c r="M113" s="9" t="str">
        <x:v>x5hpi9</x:v>
      </x:c>
    </x:row>
    <x:row r="114" ht="15" hidden="0" customHeight="1">
      <x:c r="A114" s="9" t="str">
        <x:v>Invoice basis</x:v>
      </x:c>
      <x:c r="B114" s="9" t="str">
        <x:v>1 Feb-31 Jul 2026</x:v>
      </x:c>
      <x:c r="C114" s="10" t="n">
        <x:v>46087.958333333336</x:v>
      </x:c>
      <x:c r="D114" s="9" t="str">
        <x:v>Purchase</x:v>
      </x:c>
      <x:c r="E114" s="9" t="str">
        <x:v>BNZ bank (pre-import)</x:v>
      </x:c>
      <x:c r="F114" s="9" t="str">
        <x:v>BP CONNECT WANAKA · 5996 · 492102070933</x:v>
      </x:c>
      <x:c r="G114" s="11" t="n">
        <x:v>134.99</x:v>
      </x:c>
      <x:c r="H114" s="11" t="n">
        <x:v>17.61</x:v>
      </x:c>
      <x:c r="I114" s="9" t="str">
        <x:v>Y</x:v>
      </x:c>
      <x:c r="J114" s="9" t="str">
        <x:v>High</x:v>
      </x:c>
      <x:c r="K114" s="9" t="str">
        <x:v>Bank + TradePilot</x:v>
      </x:c>
      <x:c r="L114" s="9" t="str">
        <x:v>Business purchase.</x:v>
      </x:c>
      <x:c r="M114" s="9" t="str">
        <x:v>t0mv18</x:v>
      </x:c>
    </x:row>
    <x:row r="115" ht="15" hidden="0" customHeight="1">
      <x:c r="A115" s="9" t="str">
        <x:v>Invoice basis</x:v>
      </x:c>
      <x:c r="B115" s="9" t="str">
        <x:v>1 Feb-31 Jul 2026</x:v>
      </x:c>
      <x:c r="C115" s="10" t="n">
        <x:v>46087.958333333336</x:v>
      </x:c>
      <x:c r="D115" s="9" t="str">
        <x:v>Purchase</x:v>
      </x:c>
      <x:c r="E115" s="9" t="str">
        <x:v>BNZ bank (pre-import)</x:v>
      </x:c>
      <x:c r="F115" s="9" t="str">
        <x:v>OPENAI *CHATGPT SUBS · 5996 · 449216072053</x:v>
      </x:c>
      <x:c r="G115" s="11" t="n">
        <x:v>40.16</x:v>
      </x:c>
      <x:c r="H115" s="11" t="n">
        <x:v>5.24</x:v>
      </x:c>
      <x:c r="I115" s="9" t="str">
        <x:v>Y</x:v>
      </x:c>
      <x:c r="J115" s="9" t="str">
        <x:v>Review</x:v>
      </x:c>
      <x:c r="K115" s="9" t="str">
        <x:v>Bank + TradePilot; check supplier invoice shows NZ GST</x:v>
      </x:c>
      <x:c r="L115" s="9" t="str">
        <x:v>Included provisionally; overseas software is claimable only if NZ GST was actually charged.</x:v>
      </x:c>
      <x:c r="M115" s="9" t="str">
        <x:v>pdfyan</x:v>
      </x:c>
    </x:row>
    <x:row r="116" ht="15" hidden="0" customHeight="1">
      <x:c r="A116" s="9" t="str">
        <x:v>Invoice basis</x:v>
      </x:c>
      <x:c r="B116" s="9" t="str">
        <x:v>1 Feb-31 Jul 2026</x:v>
      </x:c>
      <x:c r="C116" s="10" t="n">
        <x:v>46088.958333333336</x:v>
      </x:c>
      <x:c r="D116" s="9" t="str">
        <x:v>Purchase</x:v>
      </x:c>
      <x:c r="E116" s="9" t="str">
        <x:v>BNZ bank (pre-import)</x:v>
      </x:c>
      <x:c r="F116" s="9" t="str">
        <x:v>MITRE 10 MEGA WANAKA · 5996 · 434667080956</x:v>
      </x:c>
      <x:c r="G116" s="11" t="n">
        <x:v>741.98</x:v>
      </x:c>
      <x:c r="H116" s="11" t="n">
        <x:v>96.78</x:v>
      </x:c>
      <x:c r="I116" s="9" t="str">
        <x:v>Y</x:v>
      </x:c>
      <x:c r="J116" s="9" t="str">
        <x:v>High</x:v>
      </x:c>
      <x:c r="K116" s="9" t="str">
        <x:v>Bank + TradePilot</x:v>
      </x:c>
      <x:c r="L116" s="9" t="str">
        <x:v>Business purchase.</x:v>
      </x:c>
      <x:c r="M116" s="9" t="str">
        <x:v>efpn2</x:v>
      </x:c>
    </x:row>
    <x:row r="117" ht="15" hidden="0" customHeight="1">
      <x:c r="A117" s="9" t="str">
        <x:v>Invoice basis</x:v>
      </x:c>
      <x:c r="B117" s="9" t="str">
        <x:v>1 Feb-31 Jul 2026</x:v>
      </x:c>
      <x:c r="C117" s="10" t="n">
        <x:v>46089.958333333336</x:v>
      </x:c>
      <x:c r="D117" s="9" t="str">
        <x:v>Purchase</x:v>
      </x:c>
      <x:c r="E117" s="9" t="str">
        <x:v>BNZ bank (pre-import)</x:v>
      </x:c>
      <x:c r="F117" s="9" t="str">
        <x:v>MITRE 10 MEGA WANAKA · 5996 · 434667091211</x:v>
      </x:c>
      <x:c r="G117" s="11" t="n">
        <x:v>42.35</x:v>
      </x:c>
      <x:c r="H117" s="11" t="n">
        <x:v>5.52</x:v>
      </x:c>
      <x:c r="I117" s="9" t="str">
        <x:v>Y</x:v>
      </x:c>
      <x:c r="J117" s="9" t="str">
        <x:v>High</x:v>
      </x:c>
      <x:c r="K117" s="9" t="str">
        <x:v>Bank + TradePilot</x:v>
      </x:c>
      <x:c r="L117" s="9" t="str">
        <x:v>Business purchase.</x:v>
      </x:c>
      <x:c r="M117" s="9" t="str">
        <x:v>i9uepm</x:v>
      </x:c>
    </x:row>
    <x:row r="118" ht="15" hidden="0" customHeight="1">
      <x:c r="A118" s="9" t="str">
        <x:v>Invoice basis</x:v>
      </x:c>
      <x:c r="B118" s="9" t="str">
        <x:v>1 Feb-31 Jul 2026</x:v>
      </x:c>
      <x:c r="C118" s="10" t="n">
        <x:v>46089.958333333336</x:v>
      </x:c>
      <x:c r="D118" s="9" t="str">
        <x:v>Purchase</x:v>
      </x:c>
      <x:c r="E118" s="9" t="str">
        <x:v>BNZ bank (pre-import)</x:v>
      </x:c>
      <x:c r="F118" s="9" t="str">
        <x:v>THE WAREHOUSE 212 WA · 5996 · 434667091212</x:v>
      </x:c>
      <x:c r="G118" s="11" t="n">
        <x:v>60</x:v>
      </x:c>
      <x:c r="H118" s="11" t="n">
        <x:v>0</x:v>
      </x:c>
      <x:c r="I118" s="9" t="str">
        <x:v>N</x:v>
      </x:c>
      <x:c r="J118" s="9" t="str">
        <x:v>Review</x:v>
      </x:c>
      <x:c r="K118" s="9" t="str">
        <x:v>Bank + TradePilot description</x:v>
      </x:c>
      <x:c r="L118" s="9" t="str">
        <x:v>Ordinary work clothing excluded. Change to Y only if protective or a distinctive branded uniform.</x:v>
      </x:c>
      <x:c r="M118" s="9" t="str">
        <x:v>2hlm1b</x:v>
      </x:c>
    </x:row>
    <x:row r="119" ht="15" hidden="0" customHeight="1">
      <x:c r="A119" s="9" t="str">
        <x:v>Invoice basis</x:v>
      </x:c>
      <x:c r="B119" s="9" t="str">
        <x:v>1 Feb-31 Jul 2026</x:v>
      </x:c>
      <x:c r="C119" s="10" t="n">
        <x:v>46091.958333333336</x:v>
      </x:c>
      <x:c r="D119" s="9" t="str">
        <x:v>Purchase</x:v>
      </x:c>
      <x:c r="E119" s="9" t="str">
        <x:v>BNZ bank (pre-import)</x:v>
      </x:c>
      <x:c r="F119" s="9" t="str">
        <x:v>Resene - Wanaka 087 · 5996 · 420549111106</x:v>
      </x:c>
      <x:c r="G119" s="11" t="n">
        <x:v>126.65</x:v>
      </x:c>
      <x:c r="H119" s="11" t="n">
        <x:v>16.52</x:v>
      </x:c>
      <x:c r="I119" s="9" t="str">
        <x:v>Y</x:v>
      </x:c>
      <x:c r="J119" s="9" t="str">
        <x:v>High</x:v>
      </x:c>
      <x:c r="K119" s="9" t="str">
        <x:v>Bank + TradePilot</x:v>
      </x:c>
      <x:c r="L119" s="9" t="str">
        <x:v>Business purchase.</x:v>
      </x:c>
      <x:c r="M119" s="9" t="str">
        <x:v>jkp2rn</x:v>
      </x:c>
    </x:row>
    <x:row r="120" ht="15" hidden="0" customHeight="1">
      <x:c r="A120" s="9" t="str">
        <x:v>Invoice basis</x:v>
      </x:c>
      <x:c r="B120" s="9" t="str">
        <x:v>1 Feb-31 Jul 2026</x:v>
      </x:c>
      <x:c r="C120" s="10" t="n">
        <x:v>46091.958333333336</x:v>
      </x:c>
      <x:c r="D120" s="9" t="str">
        <x:v>Purchase</x:v>
      </x:c>
      <x:c r="E120" s="9" t="str">
        <x:v>BNZ bank (pre-import)</x:v>
      </x:c>
      <x:c r="F120" s="9" t="str">
        <x:v>BP CONNECT WANAKA · 5996 · 492102111534</x:v>
      </x:c>
      <x:c r="G120" s="11" t="n">
        <x:v>28.99</x:v>
      </x:c>
      <x:c r="H120" s="11" t="n">
        <x:v>3.78</x:v>
      </x:c>
      <x:c r="I120" s="9" t="str">
        <x:v>Y</x:v>
      </x:c>
      <x:c r="J120" s="9" t="str">
        <x:v>High</x:v>
      </x:c>
      <x:c r="K120" s="9" t="str">
        <x:v>Bank + TradePilot</x:v>
      </x:c>
      <x:c r="L120" s="9" t="str">
        <x:v>Business purchase.</x:v>
      </x:c>
      <x:c r="M120" s="9" t="str">
        <x:v>4nbwjm</x:v>
      </x:c>
    </x:row>
    <x:row r="121" ht="15" hidden="0" customHeight="1">
      <x:c r="A121" s="9" t="str">
        <x:v>Invoice basis</x:v>
      </x:c>
      <x:c r="B121" s="9" t="str">
        <x:v>1 Feb-31 Jul 2026</x:v>
      </x:c>
      <x:c r="C121" s="10" t="n">
        <x:v>46091.958333333336</x:v>
      </x:c>
      <x:c r="D121" s="9" t="str">
        <x:v>Purchase</x:v>
      </x:c>
      <x:c r="E121" s="9" t="str">
        <x:v>BNZ bank (pre-import)</x:v>
      </x:c>
      <x:c r="F121" s="9" t="str">
        <x:v>SPOTIFY · 5996 · 414361112121</x:v>
      </x:c>
      <x:c r="G121" s="11" t="n">
        <x:v>25.49</x:v>
      </x:c>
      <x:c r="H121" s="11" t="n">
        <x:v>0</x:v>
      </x:c>
      <x:c r="I121" s="9" t="str">
        <x:v>N</x:v>
      </x:c>
      <x:c r="J121" s="9" t="str">
        <x:v>High</x:v>
      </x:c>
      <x:c r="K121" s="9" t="str">
        <x:v>Bank description</x:v>
      </x:c>
      <x:c r="L121" s="9" t="str">
        <x:v>Personal, transfer, tax, cash withdrawal, food or entertainment; no GST claim.</x:v>
      </x:c>
      <x:c r="M121" s="9" t="str">
        <x:v>louz9v</x:v>
      </x:c>
    </x:row>
    <x:row r="122" ht="15" hidden="0" customHeight="1">
      <x:c r="A122" s="9" t="str">
        <x:v>Invoice basis</x:v>
      </x:c>
      <x:c r="B122" s="9" t="str">
        <x:v>1 Feb-31 Jul 2026</x:v>
      </x:c>
      <x:c r="C122" s="10" t="n">
        <x:v>46092.958333333336</x:v>
      </x:c>
      <x:c r="D122" s="9" t="str">
        <x:v>Purchase</x:v>
      </x:c>
      <x:c r="E122" s="9" t="str">
        <x:v>BNZ bank (pre-import)</x:v>
      </x:c>
      <x:c r="F122" s="9" t="str">
        <x:v>Resene - Wanaka 087 · 5996 · 420549121332</x:v>
      </x:c>
      <x:c r="G122" s="11" t="n">
        <x:v>126.65</x:v>
      </x:c>
      <x:c r="H122" s="11" t="n">
        <x:v>16.52</x:v>
      </x:c>
      <x:c r="I122" s="9" t="str">
        <x:v>Y</x:v>
      </x:c>
      <x:c r="J122" s="9" t="str">
        <x:v>High</x:v>
      </x:c>
      <x:c r="K122" s="9" t="str">
        <x:v>Bank + TradePilot</x:v>
      </x:c>
      <x:c r="L122" s="9" t="str">
        <x:v>Business purchase.</x:v>
      </x:c>
      <x:c r="M122" s="9" t="str">
        <x:v>vpo2qo</x:v>
      </x:c>
    </x:row>
    <x:row r="123" ht="15" hidden="0" customHeight="1">
      <x:c r="A123" s="9" t="str">
        <x:v>Invoice basis</x:v>
      </x:c>
      <x:c r="B123" s="9" t="str">
        <x:v>1 Feb-31 Jul 2026</x:v>
      </x:c>
      <x:c r="C123" s="10" t="n">
        <x:v>46093.958333333336</x:v>
      </x:c>
      <x:c r="D123" s="9" t="str">
        <x:v>Purchase</x:v>
      </x:c>
      <x:c r="E123" s="9" t="str">
        <x:v>BNZ bank (pre-import)</x:v>
      </x:c>
      <x:c r="F123" s="9" t="str">
        <x:v>BP 2GO CROMWELL · 5996 · 492102131326</x:v>
      </x:c>
      <x:c r="G123" s="11" t="n">
        <x:v>117.65</x:v>
      </x:c>
      <x:c r="H123" s="11" t="n">
        <x:v>15.35</x:v>
      </x:c>
      <x:c r="I123" s="9" t="str">
        <x:v>Y</x:v>
      </x:c>
      <x:c r="J123" s="9" t="str">
        <x:v>High</x:v>
      </x:c>
      <x:c r="K123" s="9" t="str">
        <x:v>Bank + TradePilot</x:v>
      </x:c>
      <x:c r="L123" s="9" t="str">
        <x:v>Business purchase.</x:v>
      </x:c>
      <x:c r="M123" s="9" t="str">
        <x:v>wzms71</x:v>
      </x:c>
    </x:row>
    <x:row r="124" ht="15" hidden="0" customHeight="1">
      <x:c r="A124" s="9" t="str">
        <x:v>Invoice basis</x:v>
      </x:c>
      <x:c r="B124" s="9" t="str">
        <x:v>1 Feb-31 Jul 2026</x:v>
      </x:c>
      <x:c r="C124" s="10" t="n">
        <x:v>46094.958333333336</x:v>
      </x:c>
      <x:c r="D124" s="9" t="str">
        <x:v>Purchase</x:v>
      </x:c>
      <x:c r="E124" s="9" t="str">
        <x:v>BNZ bank (pre-import)</x:v>
      </x:c>
      <x:c r="F124" s="9" t="str">
        <x:v>Four Square Albertto · 5996 · 420549141849</x:v>
      </x:c>
      <x:c r="G124" s="11" t="n">
        <x:v>8.58</x:v>
      </x:c>
      <x:c r="H124" s="11" t="n">
        <x:v>0</x:v>
      </x:c>
      <x:c r="I124" s="9" t="str">
        <x:v>N</x:v>
      </x:c>
      <x:c r="J124" s="9" t="str">
        <x:v>High</x:v>
      </x:c>
      <x:c r="K124" s="9" t="str">
        <x:v>Bank description</x:v>
      </x:c>
      <x:c r="L124" s="9" t="str">
        <x:v>Personal, transfer, tax, cash withdrawal, food or entertainment; no GST claim.</x:v>
      </x:c>
      <x:c r="M124" s="9" t="str">
        <x:v>oszv17</x:v>
      </x:c>
    </x:row>
    <x:row r="125" ht="15" hidden="0" customHeight="1">
      <x:c r="A125" s="9" t="str">
        <x:v>Invoice basis</x:v>
      </x:c>
      <x:c r="B125" s="9" t="str">
        <x:v>1 Feb-31 Jul 2026</x:v>
      </x:c>
      <x:c r="C125" s="10" t="n">
        <x:v>46095.958333333336</x:v>
      </x:c>
      <x:c r="D125" s="9" t="str">
        <x:v>Purchase</x:v>
      </x:c>
      <x:c r="E125" s="9" t="str">
        <x:v>BNZ bank (pre-import)</x:v>
      </x:c>
      <x:c r="F125" s="9" t="str">
        <x:v>Vincent Smith</x:v>
      </x:c>
      <x:c r="G125" s="11" t="n">
        <x:v>80</x:v>
      </x:c>
      <x:c r="H125" s="11" t="n">
        <x:v>10.43</x:v>
      </x:c>
      <x:c r="I125" s="9" t="str">
        <x:v>Y</x:v>
      </x:c>
      <x:c r="J125" s="9" t="str">
        <x:v>High</x:v>
      </x:c>
      <x:c r="K125" s="9" t="str">
        <x:v>Bank + TradePilot</x:v>
      </x:c>
      <x:c r="L125" s="9" t="str">
        <x:v>Business purchase.</x:v>
      </x:c>
      <x:c r="M125" s="9" t="str">
        <x:v>iwgpsv</x:v>
      </x:c>
    </x:row>
    <x:row r="126" ht="15" hidden="0" customHeight="1">
      <x:c r="A126" s="9" t="str">
        <x:v>Invoice basis</x:v>
      </x:c>
      <x:c r="B126" s="9" t="str">
        <x:v>1 Feb-31 Jul 2026</x:v>
      </x:c>
      <x:c r="C126" s="10" t="n">
        <x:v>46095.958333333336</x:v>
      </x:c>
      <x:c r="D126" s="9" t="str">
        <x:v>Purchase</x:v>
      </x:c>
      <x:c r="E126" s="9" t="str">
        <x:v>BNZ bank (pre-import)</x:v>
      </x:c>
      <x:c r="F126" s="9" t="str">
        <x:v>ONE NZ · 5996 · 432129150749</x:v>
      </x:c>
      <x:c r="G126" s="11" t="n">
        <x:v>188.58</x:v>
      </x:c>
      <x:c r="H126" s="11" t="n">
        <x:v>24.6</x:v>
      </x:c>
      <x:c r="I126" s="9" t="str">
        <x:v>Y</x:v>
      </x:c>
      <x:c r="J126" s="9" t="str">
        <x:v>High</x:v>
      </x:c>
      <x:c r="K126" s="9" t="str">
        <x:v>Bank + TradePilot</x:v>
      </x:c>
      <x:c r="L126" s="9" t="str">
        <x:v>Business purchase.</x:v>
      </x:c>
      <x:c r="M126" s="9" t="str">
        <x:v>cuhb5r</x:v>
      </x:c>
    </x:row>
    <x:row r="127" ht="15" hidden="0" customHeight="1">
      <x:c r="A127" s="9" t="str">
        <x:v>Invoice basis</x:v>
      </x:c>
      <x:c r="B127" s="9" t="str">
        <x:v>1 Feb-31 Jul 2026</x:v>
      </x:c>
      <x:c r="C127" s="10" t="n">
        <x:v>46095.958333333336</x:v>
      </x:c>
      <x:c r="D127" s="9" t="str">
        <x:v>Purchase</x:v>
      </x:c>
      <x:c r="E127" s="9" t="str">
        <x:v>BNZ bank (pre-import)</x:v>
      </x:c>
      <x:c r="F127" s="9" t="str">
        <x:v>Four Square Albertto · 5996 · 420549151500</x:v>
      </x:c>
      <x:c r="G127" s="11" t="n">
        <x:v>13.79</x:v>
      </x:c>
      <x:c r="H127" s="11" t="n">
        <x:v>0</x:v>
      </x:c>
      <x:c r="I127" s="9" t="str">
        <x:v>N</x:v>
      </x:c>
      <x:c r="J127" s="9" t="str">
        <x:v>High</x:v>
      </x:c>
      <x:c r="K127" s="9" t="str">
        <x:v>Bank description</x:v>
      </x:c>
      <x:c r="L127" s="9" t="str">
        <x:v>Personal, transfer, tax, cash withdrawal, food or entertainment; no GST claim.</x:v>
      </x:c>
      <x:c r="M127" s="9" t="str">
        <x:v>vp5dc4</x:v>
      </x:c>
    </x:row>
    <x:row r="128" ht="15" hidden="0" customHeight="1">
      <x:c r="A128" s="9" t="str">
        <x:v>Invoice basis</x:v>
      </x:c>
      <x:c r="B128" s="9" t="str">
        <x:v>1 Feb-31 Jul 2026</x:v>
      </x:c>
      <x:c r="C128" s="10" t="n">
        <x:v>46096.958333333336</x:v>
      </x:c>
      <x:c r="D128" s="9" t="str">
        <x:v>Sale</x:v>
      </x:c>
      <x:c r="E128" s="9" t="str">
        <x:v>TradePilot invoice</x:v>
      </x:c>
      <x:c r="F128" s="9" t="str">
        <x:v>INV-J10-F · final · Pass-2 backfill: final balance after deposit</x:v>
      </x:c>
      <x:c r="G128" s="11" t="n">
        <x:v>789</x:v>
      </x:c>
      <x:c r="H128" s="11" t="n">
        <x:v>102.91</x:v>
      </x:c>
      <x:c r="I128" s="9" t="str">
        <x:v>Y</x:v>
      </x:c>
      <x:c r="J128" s="9" t="str">
        <x:v>Medium</x:v>
      </x:c>
      <x:c r="K128" s="9" t="str">
        <x:v>TradePilot invoice record</x:v>
      </x:c>
      <x:c r="L128" s="9" t="str">
        <x:v>Invoice record used; payment date is earlier where applicable.</x:v>
      </x:c>
      <x:c r="M128" s="9" t="str">
        <x:v>INV-J10-F</x:v>
      </x:c>
    </x:row>
    <x:row r="129" ht="15" hidden="0" customHeight="1">
      <x:c r="A129" s="9" t="str">
        <x:v>Invoice basis</x:v>
      </x:c>
      <x:c r="B129" s="9" t="str">
        <x:v>1 Feb-31 Jul 2026</x:v>
      </x:c>
      <x:c r="C129" s="10" t="n">
        <x:v>46097.958333333336</x:v>
      </x:c>
      <x:c r="D129" s="9" t="str">
        <x:v>Purchase</x:v>
      </x:c>
      <x:c r="E129" s="9" t="str">
        <x:v>BNZ bank (pre-import)</x:v>
      </x:c>
      <x:c r="F129" s="9" t="str">
        <x:v>MITRE 10 MEGA WANAKA · 5996 · 434667171218</x:v>
      </x:c>
      <x:c r="G129" s="11" t="n">
        <x:v>57.19</x:v>
      </x:c>
      <x:c r="H129" s="11" t="n">
        <x:v>7.46</x:v>
      </x:c>
      <x:c r="I129" s="9" t="str">
        <x:v>Y</x:v>
      </x:c>
      <x:c r="J129" s="9" t="str">
        <x:v>High</x:v>
      </x:c>
      <x:c r="K129" s="9" t="str">
        <x:v>Bank + TradePilot</x:v>
      </x:c>
      <x:c r="L129" s="9" t="str">
        <x:v>Business purchase.</x:v>
      </x:c>
      <x:c r="M129" s="9" t="str">
        <x:v>efdaz1</x:v>
      </x:c>
    </x:row>
    <x:row r="130" ht="15" hidden="0" customHeight="1">
      <x:c r="A130" s="9" t="str">
        <x:v>Invoice basis</x:v>
      </x:c>
      <x:c r="B130" s="9" t="str">
        <x:v>1 Feb-31 Jul 2026</x:v>
      </x:c>
      <x:c r="C130" s="10" t="n">
        <x:v>46097.958333333336</x:v>
      </x:c>
      <x:c r="D130" s="9" t="str">
        <x:v>Purchase</x:v>
      </x:c>
      <x:c r="E130" s="9" t="str">
        <x:v>BNZ bank (pre-import)</x:v>
      </x:c>
      <x:c r="F130" s="9" t="str">
        <x:v>Resene - Wanaka 087 · 5996 · 420549171114</x:v>
      </x:c>
      <x:c r="G130" s="11" t="n">
        <x:v>175.39</x:v>
      </x:c>
      <x:c r="H130" s="11" t="n">
        <x:v>22.88</x:v>
      </x:c>
      <x:c r="I130" s="9" t="str">
        <x:v>Y</x:v>
      </x:c>
      <x:c r="J130" s="9" t="str">
        <x:v>High</x:v>
      </x:c>
      <x:c r="K130" s="9" t="str">
        <x:v>Bank + TradePilot</x:v>
      </x:c>
      <x:c r="L130" s="9" t="str">
        <x:v>Business purchase.</x:v>
      </x:c>
      <x:c r="M130" s="9" t="str">
        <x:v>rze60d</x:v>
      </x:c>
    </x:row>
    <x:row r="131" ht="15" hidden="0" customHeight="1">
      <x:c r="A131" s="9" t="str">
        <x:v>Invoice basis</x:v>
      </x:c>
      <x:c r="B131" s="9" t="str">
        <x:v>1 Feb-31 Jul 2026</x:v>
      </x:c>
      <x:c r="C131" s="10" t="n">
        <x:v>46097.958333333336</x:v>
      </x:c>
      <x:c r="D131" s="9" t="str">
        <x:v>Purchase</x:v>
      </x:c>
      <x:c r="E131" s="9" t="str">
        <x:v>BNZ bank (pre-import)</x:v>
      </x:c>
      <x:c r="F131" s="9" t="str">
        <x:v>Resene - Wanaka 087 · 5996 · 420549171116</x:v>
      </x:c>
      <x:c r="G131" s="11" t="n">
        <x:v>37.5</x:v>
      </x:c>
      <x:c r="H131" s="11" t="n">
        <x:v>4.89</x:v>
      </x:c>
      <x:c r="I131" s="9" t="str">
        <x:v>Y</x:v>
      </x:c>
      <x:c r="J131" s="9" t="str">
        <x:v>High</x:v>
      </x:c>
      <x:c r="K131" s="9" t="str">
        <x:v>Bank + TradePilot</x:v>
      </x:c>
      <x:c r="L131" s="9" t="str">
        <x:v>Business purchase.</x:v>
      </x:c>
      <x:c r="M131" s="9" t="str">
        <x:v>p87mkr</x:v>
      </x:c>
    </x:row>
    <x:row r="132" ht="15" hidden="0" customHeight="1">
      <x:c r="A132" s="9" t="str">
        <x:v>Invoice basis</x:v>
      </x:c>
      <x:c r="B132" s="9" t="str">
        <x:v>1 Feb-31 Jul 2026</x:v>
      </x:c>
      <x:c r="C132" s="10" t="n">
        <x:v>46097.958333333336</x:v>
      </x:c>
      <x:c r="D132" s="9" t="str">
        <x:v>Sale</x:v>
      </x:c>
      <x:c r="E132" s="9" t="str">
        <x:v>TradePilot invoice</x:v>
      </x:c>
      <x:c r="F132" s="9" t="str">
        <x:v>INV-J8 · final · Pass-2 backfill: from quote_amount</x:v>
      </x:c>
      <x:c r="G132" s="11" t="n">
        <x:v>1480.05</x:v>
      </x:c>
      <x:c r="H132" s="11" t="n">
        <x:v>193.05</x:v>
      </x:c>
      <x:c r="I132" s="9" t="str">
        <x:v>Y</x:v>
      </x:c>
      <x:c r="J132" s="9" t="str">
        <x:v>Medium</x:v>
      </x:c>
      <x:c r="K132" s="9" t="str">
        <x:v>TradePilot invoice record</x:v>
      </x:c>
      <x:c r="L132" s="9" t="str">
        <x:v>Invoice record used; payment date is earlier where applicable.</x:v>
      </x:c>
      <x:c r="M132" s="9" t="str">
        <x:v>INV-J8</x:v>
      </x:c>
    </x:row>
    <x:row r="133" ht="15" hidden="0" customHeight="1">
      <x:c r="A133" s="9" t="str">
        <x:v>Invoice basis</x:v>
      </x:c>
      <x:c r="B133" s="9" t="str">
        <x:v>1 Feb-31 Jul 2026</x:v>
      </x:c>
      <x:c r="C133" s="10" t="n">
        <x:v>46098.958333333336</x:v>
      </x:c>
      <x:c r="D133" s="9" t="str">
        <x:v>Purchase</x:v>
      </x:c>
      <x:c r="E133" s="9" t="str">
        <x:v>BNZ bank (pre-import)</x:v>
      </x:c>
      <x:c r="F133" s="9" t="str">
        <x:v>YouMoney · INTERNET XFR</x:v>
      </x:c>
      <x:c r="G133" s="11" t="n">
        <x:v>500</x:v>
      </x:c>
      <x:c r="H133" s="11" t="n">
        <x:v>0</x:v>
      </x:c>
      <x:c r="I133" s="9" t="str">
        <x:v>N</x:v>
      </x:c>
      <x:c r="J133" s="9" t="str">
        <x:v>High</x:v>
      </x:c>
      <x:c r="K133" s="9" t="str">
        <x:v>Bank description</x:v>
      </x:c>
      <x:c r="L133" s="9" t="str">
        <x:v>Personal, transfer, tax, cash withdrawal, food or entertainment; no GST claim.</x:v>
      </x:c>
      <x:c r="M133" s="9" t="str">
        <x:v>6cx5jn</x:v>
      </x:c>
    </x:row>
    <x:row r="134" ht="15" hidden="0" customHeight="1">
      <x:c r="A134" s="9" t="str">
        <x:v>Invoice basis</x:v>
      </x:c>
      <x:c r="B134" s="9" t="str">
        <x:v>1 Feb-31 Jul 2026</x:v>
      </x:c>
      <x:c r="C134" s="10" t="n">
        <x:v>46098.958333333336</x:v>
      </x:c>
      <x:c r="D134" s="9" t="str">
        <x:v>Purchase</x:v>
      </x:c>
      <x:c r="E134" s="9" t="str">
        <x:v>BNZ bank (pre-import)</x:v>
      </x:c>
      <x:c r="F134" s="9" t="str">
        <x:v>Trademax NZ Limited</x:v>
      </x:c>
      <x:c r="G134" s="11" t="n">
        <x:v>238.17</x:v>
      </x:c>
      <x:c r="H134" s="11" t="n">
        <x:v>31.07</x:v>
      </x:c>
      <x:c r="I134" s="9" t="str">
        <x:v>Y</x:v>
      </x:c>
      <x:c r="J134" s="9" t="str">
        <x:v>High</x:v>
      </x:c>
      <x:c r="K134" s="9" t="str">
        <x:v>Bank + TradePilot</x:v>
      </x:c>
      <x:c r="L134" s="9" t="str">
        <x:v>Business purchase.</x:v>
      </x:c>
      <x:c r="M134" s="9" t="str">
        <x:v>vb77v9</x:v>
      </x:c>
    </x:row>
    <x:row r="135" ht="15" hidden="0" customHeight="1">
      <x:c r="A135" s="9" t="str">
        <x:v>Invoice basis</x:v>
      </x:c>
      <x:c r="B135" s="9" t="str">
        <x:v>1 Feb-31 Jul 2026</x:v>
      </x:c>
      <x:c r="C135" s="10" t="n">
        <x:v>46098.958333333336</x:v>
      </x:c>
      <x:c r="D135" s="9" t="str">
        <x:v>Purchase</x:v>
      </x:c>
      <x:c r="E135" s="9" t="str">
        <x:v>BNZ bank (pre-import)</x:v>
      </x:c>
      <x:c r="F135" s="9" t="str">
        <x:v>Dulux</x:v>
      </x:c>
      <x:c r="G135" s="11" t="n">
        <x:v>1076.85</x:v>
      </x:c>
      <x:c r="H135" s="11" t="n">
        <x:v>140.46</x:v>
      </x:c>
      <x:c r="I135" s="9" t="str">
        <x:v>Y</x:v>
      </x:c>
      <x:c r="J135" s="9" t="str">
        <x:v>High</x:v>
      </x:c>
      <x:c r="K135" s="9" t="str">
        <x:v>Bank + TradePilot</x:v>
      </x:c>
      <x:c r="L135" s="9" t="str">
        <x:v>Business purchase.</x:v>
      </x:c>
      <x:c r="M135" s="9" t="str">
        <x:v>9d5j4j</x:v>
      </x:c>
    </x:row>
    <x:row r="136" ht="15" hidden="0" customHeight="1">
      <x:c r="A136" s="9" t="str">
        <x:v>Invoice basis</x:v>
      </x:c>
      <x:c r="B136" s="9" t="str">
        <x:v>1 Feb-31 Jul 2026</x:v>
      </x:c>
      <x:c r="C136" s="10" t="n">
        <x:v>46099.958333333336</x:v>
      </x:c>
      <x:c r="D136" s="9" t="str">
        <x:v>Purchase</x:v>
      </x:c>
      <x:c r="E136" s="9" t="str">
        <x:v>BNZ bank (pre-import)</x:v>
      </x:c>
      <x:c r="F136" s="9" t="str">
        <x:v>Resene - Wanaka 087 · 5996 · 420549190844</x:v>
      </x:c>
      <x:c r="G136" s="11" t="n">
        <x:v>135.29</x:v>
      </x:c>
      <x:c r="H136" s="11" t="n">
        <x:v>17.65</x:v>
      </x:c>
      <x:c r="I136" s="9" t="str">
        <x:v>Y</x:v>
      </x:c>
      <x:c r="J136" s="9" t="str">
        <x:v>High</x:v>
      </x:c>
      <x:c r="K136" s="9" t="str">
        <x:v>Bank + TradePilot</x:v>
      </x:c>
      <x:c r="L136" s="9" t="str">
        <x:v>Business purchase.</x:v>
      </x:c>
      <x:c r="M136" s="9" t="str">
        <x:v>dztne3</x:v>
      </x:c>
    </x:row>
    <x:row r="137" ht="15" hidden="0" customHeight="1">
      <x:c r="A137" s="9" t="str">
        <x:v>Invoice basis</x:v>
      </x:c>
      <x:c r="B137" s="9" t="str">
        <x:v>1 Feb-31 Jul 2026</x:v>
      </x:c>
      <x:c r="C137" s="10" t="n">
        <x:v>46100.958333333336</x:v>
      </x:c>
      <x:c r="D137" s="9" t="str">
        <x:v>Purchase</x:v>
      </x:c>
      <x:c r="E137" s="9" t="str">
        <x:v>BNZ bank (pre-import)</x:v>
      </x:c>
      <x:c r="F137" s="9" t="str">
        <x:v>BP CONNECT WANAKA · 5996 · 492102201504</x:v>
      </x:c>
      <x:c r="G137" s="11" t="n">
        <x:v>162.13</x:v>
      </x:c>
      <x:c r="H137" s="11" t="n">
        <x:v>21.15</x:v>
      </x:c>
      <x:c r="I137" s="9" t="str">
        <x:v>Y</x:v>
      </x:c>
      <x:c r="J137" s="9" t="str">
        <x:v>High</x:v>
      </x:c>
      <x:c r="K137" s="9" t="str">
        <x:v>Bank + TradePilot</x:v>
      </x:c>
      <x:c r="L137" s="9" t="str">
        <x:v>Business purchase.</x:v>
      </x:c>
      <x:c r="M137" s="9" t="str">
        <x:v>mftvb4</x:v>
      </x:c>
    </x:row>
    <x:row r="138" ht="15" hidden="0" customHeight="1">
      <x:c r="A138" s="9" t="str">
        <x:v>Invoice basis</x:v>
      </x:c>
      <x:c r="B138" s="9" t="str">
        <x:v>1 Feb-31 Jul 2026</x:v>
      </x:c>
      <x:c r="C138" s="10" t="n">
        <x:v>46100.958333333336</x:v>
      </x:c>
      <x:c r="D138" s="9" t="str">
        <x:v>Purchase</x:v>
      </x:c>
      <x:c r="E138" s="9" t="str">
        <x:v>BNZ bank (pre-import)</x:v>
      </x:c>
      <x:c r="F138" s="9" t="str">
        <x:v>MITRE 10 MEGA WANAKA · 5996 · 434667201208</x:v>
      </x:c>
      <x:c r="G138" s="11" t="n">
        <x:v>90.83</x:v>
      </x:c>
      <x:c r="H138" s="11" t="n">
        <x:v>11.85</x:v>
      </x:c>
      <x:c r="I138" s="9" t="str">
        <x:v>Y</x:v>
      </x:c>
      <x:c r="J138" s="9" t="str">
        <x:v>High</x:v>
      </x:c>
      <x:c r="K138" s="9" t="str">
        <x:v>Bank + TradePilot</x:v>
      </x:c>
      <x:c r="L138" s="9" t="str">
        <x:v>Business purchase.</x:v>
      </x:c>
      <x:c r="M138" s="9" t="str">
        <x:v>a52egs</x:v>
      </x:c>
    </x:row>
    <x:row r="139" ht="15" hidden="0" customHeight="1">
      <x:c r="A139" s="9" t="str">
        <x:v>Invoice basis</x:v>
      </x:c>
      <x:c r="B139" s="9" t="str">
        <x:v>1 Feb-31 Jul 2026</x:v>
      </x:c>
      <x:c r="C139" s="10" t="n">
        <x:v>46100.958333333336</x:v>
      </x:c>
      <x:c r="D139" s="9" t="str">
        <x:v>Purchase</x:v>
      </x:c>
      <x:c r="E139" s="9" t="str">
        <x:v>BNZ bank (pre-import)</x:v>
      </x:c>
      <x:c r="F139" s="9" t="str">
        <x:v>MITRE 10 MEGA WANAKA · 5996 · 434667201225</x:v>
      </x:c>
      <x:c r="G139" s="11" t="n">
        <x:v>10.49</x:v>
      </x:c>
      <x:c r="H139" s="11" t="n">
        <x:v>1.37</x:v>
      </x:c>
      <x:c r="I139" s="9" t="str">
        <x:v>Y</x:v>
      </x:c>
      <x:c r="J139" s="9" t="str">
        <x:v>High</x:v>
      </x:c>
      <x:c r="K139" s="9" t="str">
        <x:v>Bank + TradePilot</x:v>
      </x:c>
      <x:c r="L139" s="9" t="str">
        <x:v>Business purchase.</x:v>
      </x:c>
      <x:c r="M139" s="9" t="str">
        <x:v>sstd4t</x:v>
      </x:c>
    </x:row>
    <x:row r="140" ht="15" hidden="0" customHeight="1">
      <x:c r="A140" s="9" t="str">
        <x:v>Invoice basis</x:v>
      </x:c>
      <x:c r="B140" s="9" t="str">
        <x:v>1 Feb-31 Jul 2026</x:v>
      </x:c>
      <x:c r="C140" s="10" t="n">
        <x:v>46100.958333333336</x:v>
      </x:c>
      <x:c r="D140" s="9" t="str">
        <x:v>Purchase</x:v>
      </x:c>
      <x:c r="E140" s="9" t="str">
        <x:v>BNZ bank (pre-import)</x:v>
      </x:c>
      <x:c r="F140" s="9" t="str">
        <x:v>YouMoney · INTERNET XFR</x:v>
      </x:c>
      <x:c r="G140" s="11" t="n">
        <x:v>600</x:v>
      </x:c>
      <x:c r="H140" s="11" t="n">
        <x:v>0</x:v>
      </x:c>
      <x:c r="I140" s="9" t="str">
        <x:v>N</x:v>
      </x:c>
      <x:c r="J140" s="9" t="str">
        <x:v>High</x:v>
      </x:c>
      <x:c r="K140" s="9" t="str">
        <x:v>Bank description</x:v>
      </x:c>
      <x:c r="L140" s="9" t="str">
        <x:v>Personal, transfer, tax, cash withdrawal, food or entertainment; no GST claim.</x:v>
      </x:c>
      <x:c r="M140" s="9" t="str">
        <x:v>cenzg3</x:v>
      </x:c>
    </x:row>
    <x:row r="141" ht="15" hidden="0" customHeight="1">
      <x:c r="A141" s="9" t="str">
        <x:v>Invoice basis</x:v>
      </x:c>
      <x:c r="B141" s="9" t="str">
        <x:v>1 Feb-31 Jul 2026</x:v>
      </x:c>
      <x:c r="C141" s="10" t="n">
        <x:v>46100.958333333336</x:v>
      </x:c>
      <x:c r="D141" s="9" t="str">
        <x:v>Sale</x:v>
      </x:c>
      <x:c r="E141" s="9" t="str">
        <x:v>TradePilot invoice</x:v>
      </x:c>
      <x:c r="F141" s="9" t="str">
        <x:v>INV-J11 · final · Pass-2 backfill: from quote_amount</x:v>
      </x:c>
      <x:c r="G141" s="11" t="n">
        <x:v>489.9</x:v>
      </x:c>
      <x:c r="H141" s="11" t="n">
        <x:v>63.9</x:v>
      </x:c>
      <x:c r="I141" s="9" t="str">
        <x:v>Y</x:v>
      </x:c>
      <x:c r="J141" s="9" t="str">
        <x:v>Medium</x:v>
      </x:c>
      <x:c r="K141" s="9" t="str">
        <x:v>TradePilot invoice record</x:v>
      </x:c>
      <x:c r="L141" s="9" t="str">
        <x:v>Invoice record used; payment date is earlier where applicable.</x:v>
      </x:c>
      <x:c r="M141" s="9" t="str">
        <x:v>INV-J11</x:v>
      </x:c>
    </x:row>
    <x:row r="142" ht="15" hidden="0" customHeight="1">
      <x:c r="A142" s="9" t="str">
        <x:v>Invoice basis</x:v>
      </x:c>
      <x:c r="B142" s="9" t="str">
        <x:v>1 Feb-31 Jul 2026</x:v>
      </x:c>
      <x:c r="C142" s="10" t="n">
        <x:v>46102.958333333336</x:v>
      </x:c>
      <x:c r="D142" s="9" t="str">
        <x:v>Purchase</x:v>
      </x:c>
      <x:c r="E142" s="9" t="str">
        <x:v>BNZ bank (pre-import)</x:v>
      </x:c>
      <x:c r="F142" s="9" t="str">
        <x:v>New World Three Park · 5996 · 420549221302</x:v>
      </x:c>
      <x:c r="G142" s="11" t="n">
        <x:v>330.24</x:v>
      </x:c>
      <x:c r="H142" s="11" t="n">
        <x:v>0</x:v>
      </x:c>
      <x:c r="I142" s="9" t="str">
        <x:v>N</x:v>
      </x:c>
      <x:c r="J142" s="9" t="str">
        <x:v>High</x:v>
      </x:c>
      <x:c r="K142" s="9" t="str">
        <x:v>Bank description</x:v>
      </x:c>
      <x:c r="L142" s="9" t="str">
        <x:v>Personal, transfer, tax, cash withdrawal, food or entertainment; no GST claim.</x:v>
      </x:c>
      <x:c r="M142" s="9" t="str">
        <x:v>teadle</x:v>
      </x:c>
    </x:row>
    <x:row r="143" ht="15" hidden="0" customHeight="1">
      <x:c r="A143" s="9" t="str">
        <x:v>Invoice basis</x:v>
      </x:c>
      <x:c r="B143" s="9" t="str">
        <x:v>1 Feb-31 Jul 2026</x:v>
      </x:c>
      <x:c r="C143" s="10" t="n">
        <x:v>46103.958333333336</x:v>
      </x:c>
      <x:c r="D143" s="9" t="str">
        <x:v>Purchase</x:v>
      </x:c>
      <x:c r="E143" s="9" t="str">
        <x:v>BNZ bank (pre-import)</x:v>
      </x:c>
      <x:c r="F143" s="9" t="str">
        <x:v>MITRE 10 MEGA WANAKA · 5996 · 434667231309</x:v>
      </x:c>
      <x:c r="G143" s="11" t="n">
        <x:v>100.97</x:v>
      </x:c>
      <x:c r="H143" s="11" t="n">
        <x:v>13.17</x:v>
      </x:c>
      <x:c r="I143" s="9" t="str">
        <x:v>Y</x:v>
      </x:c>
      <x:c r="J143" s="9" t="str">
        <x:v>High</x:v>
      </x:c>
      <x:c r="K143" s="9" t="str">
        <x:v>Bank + TradePilot</x:v>
      </x:c>
      <x:c r="L143" s="9" t="str">
        <x:v>Business purchase.</x:v>
      </x:c>
      <x:c r="M143" s="9" t="str">
        <x:v>xb1i1</x:v>
      </x:c>
    </x:row>
    <x:row r="144" ht="15" hidden="0" customHeight="1">
      <x:c r="A144" s="9" t="str">
        <x:v>Invoice basis</x:v>
      </x:c>
      <x:c r="B144" s="9" t="str">
        <x:v>1 Feb-31 Jul 2026</x:v>
      </x:c>
      <x:c r="C144" s="10" t="n">
        <x:v>46104.958333333336</x:v>
      </x:c>
      <x:c r="D144" s="9" t="str">
        <x:v>Purchase</x:v>
      </x:c>
      <x:c r="E144" s="9" t="str">
        <x:v>BNZ bank (pre-import)</x:v>
      </x:c>
      <x:c r="F144" s="9" t="str">
        <x:v>MITRE 10 MEGA WANAKA · 5996 · 434667241209</x:v>
      </x:c>
      <x:c r="G144" s="11" t="n">
        <x:v>695.98</x:v>
      </x:c>
      <x:c r="H144" s="11" t="n">
        <x:v>90.78</x:v>
      </x:c>
      <x:c r="I144" s="9" t="str">
        <x:v>Y</x:v>
      </x:c>
      <x:c r="J144" s="9" t="str">
        <x:v>High</x:v>
      </x:c>
      <x:c r="K144" s="9" t="str">
        <x:v>Bank + TradePilot</x:v>
      </x:c>
      <x:c r="L144" s="9" t="str">
        <x:v>Business purchase.</x:v>
      </x:c>
      <x:c r="M144" s="9" t="str">
        <x:v>fddb4e</x:v>
      </x:c>
    </x:row>
    <x:row r="145" ht="15" hidden="0" customHeight="1">
      <x:c r="A145" s="9" t="str">
        <x:v>Invoice basis</x:v>
      </x:c>
      <x:c r="B145" s="9" t="str">
        <x:v>1 Feb-31 Jul 2026</x:v>
      </x:c>
      <x:c r="C145" s="10" t="n">
        <x:v>46105.958333333336</x:v>
      </x:c>
      <x:c r="D145" s="9" t="str">
        <x:v>Purchase</x:v>
      </x:c>
      <x:c r="E145" s="9" t="str">
        <x:v>BNZ bank (pre-import)</x:v>
      </x:c>
      <x:c r="F145" s="9" t="str">
        <x:v>MITRE 10 MEGA WANAKA · 5996 · 434667251313</x:v>
      </x:c>
      <x:c r="G145" s="11" t="n">
        <x:v>111.87</x:v>
      </x:c>
      <x:c r="H145" s="11" t="n">
        <x:v>14.59</x:v>
      </x:c>
      <x:c r="I145" s="9" t="str">
        <x:v>Y</x:v>
      </x:c>
      <x:c r="J145" s="9" t="str">
        <x:v>High</x:v>
      </x:c>
      <x:c r="K145" s="9" t="str">
        <x:v>Bank + TradePilot</x:v>
      </x:c>
      <x:c r="L145" s="9" t="str">
        <x:v>Business purchase.</x:v>
      </x:c>
      <x:c r="M145" s="9" t="str">
        <x:v>p6ca1l</x:v>
      </x:c>
    </x:row>
    <x:row r="146" ht="15" hidden="0" customHeight="1">
      <x:c r="A146" s="9" t="str">
        <x:v>Invoice basis</x:v>
      </x:c>
      <x:c r="B146" s="9" t="str">
        <x:v>1 Feb-31 Jul 2026</x:v>
      </x:c>
      <x:c r="C146" s="10" t="n">
        <x:v>46105.958333333336</x:v>
      </x:c>
      <x:c r="D146" s="9" t="str">
        <x:v>Purchase</x:v>
      </x:c>
      <x:c r="E146" s="9" t="str">
        <x:v>BNZ bank (pre-import)</x:v>
      </x:c>
      <x:c r="F146" s="9" t="str">
        <x:v>RS TRADE CENTRE · 5996 · 434667251203</x:v>
      </x:c>
      <x:c r="G146" s="11" t="n">
        <x:v>100.05</x:v>
      </x:c>
      <x:c r="H146" s="11" t="n">
        <x:v>13.05</x:v>
      </x:c>
      <x:c r="I146" s="9" t="str">
        <x:v>Y</x:v>
      </x:c>
      <x:c r="J146" s="9" t="str">
        <x:v>High</x:v>
      </x:c>
      <x:c r="K146" s="9" t="str">
        <x:v>Bank + TradePilot</x:v>
      </x:c>
      <x:c r="L146" s="9" t="str">
        <x:v>Business purchase.</x:v>
      </x:c>
      <x:c r="M146" s="9" t="str">
        <x:v>8y1rf2</x:v>
      </x:c>
    </x:row>
    <x:row r="147" ht="15" hidden="0" customHeight="1">
      <x:c r="A147" s="9" t="str">
        <x:v>Invoice basis</x:v>
      </x:c>
      <x:c r="B147" s="9" t="str">
        <x:v>1 Feb-31 Jul 2026</x:v>
      </x:c>
      <x:c r="C147" s="10" t="n">
        <x:v>46106.958333333336</x:v>
      </x:c>
      <x:c r="D147" s="9" t="str">
        <x:v>Purchase</x:v>
      </x:c>
      <x:c r="E147" s="9" t="str">
        <x:v>BNZ bank (pre-import)</x:v>
      </x:c>
      <x:c r="F147" s="9" t="str">
        <x:v>APPAREL STUDIO · 5996 · 455046261406</x:v>
      </x:c>
      <x:c r="G147" s="11" t="n">
        <x:v>207.62</x:v>
      </x:c>
      <x:c r="H147" s="11" t="n">
        <x:v>27.08</x:v>
      </x:c>
      <x:c r="I147" s="9" t="str">
        <x:v>Y</x:v>
      </x:c>
      <x:c r="J147" s="9" t="str">
        <x:v>High</x:v>
      </x:c>
      <x:c r="K147" s="9" t="str">
        <x:v>Bank + TradePilot</x:v>
      </x:c>
      <x:c r="L147" s="9" t="str">
        <x:v>Business purchase.</x:v>
      </x:c>
      <x:c r="M147" s="9" t="str">
        <x:v>gxpy7v</x:v>
      </x:c>
    </x:row>
    <x:row r="148" ht="15" hidden="0" customHeight="1">
      <x:c r="A148" s="9" t="str">
        <x:v>Invoice basis</x:v>
      </x:c>
      <x:c r="B148" s="9" t="str">
        <x:v>1 Feb-31 Jul 2026</x:v>
      </x:c>
      <x:c r="C148" s="10" t="n">
        <x:v>46107.958333333336</x:v>
      </x:c>
      <x:c r="D148" s="9" t="str">
        <x:v>Purchase</x:v>
      </x:c>
      <x:c r="E148" s="9" t="str">
        <x:v>BNZ bank (pre-import)</x:v>
      </x:c>
      <x:c r="F148" s="9" t="str">
        <x:v>ANTHROPIC · 5996 · 401134272036</x:v>
      </x:c>
      <x:c r="G148" s="11" t="n">
        <x:v>40.91</x:v>
      </x:c>
      <x:c r="H148" s="11" t="n">
        <x:v>5.34</x:v>
      </x:c>
      <x:c r="I148" s="9" t="str">
        <x:v>Y</x:v>
      </x:c>
      <x:c r="J148" s="9" t="str">
        <x:v>Review</x:v>
      </x:c>
      <x:c r="K148" s="9" t="str">
        <x:v>Bank + TradePilot; check supplier invoice shows NZ GST</x:v>
      </x:c>
      <x:c r="L148" s="9" t="str">
        <x:v>Included provisionally; overseas software is claimable only if NZ GST was actually charged.</x:v>
      </x:c>
      <x:c r="M148" s="9" t="str">
        <x:v>fei5n8</x:v>
      </x:c>
    </x:row>
    <x:row r="149" ht="15" hidden="0" customHeight="1">
      <x:c r="A149" s="9" t="str">
        <x:v>Invoice basis</x:v>
      </x:c>
      <x:c r="B149" s="9" t="str">
        <x:v>1 Feb-31 Jul 2026</x:v>
      </x:c>
      <x:c r="C149" s="10" t="n">
        <x:v>46107.958333333336</x:v>
      </x:c>
      <x:c r="D149" s="9" t="str">
        <x:v>Sale</x:v>
      </x:c>
      <x:c r="E149" s="9" t="str">
        <x:v>TradePilot invoice</x:v>
      </x:c>
      <x:c r="F149" s="9" t="str">
        <x:v>INV-J7-F · final · Pass-2 backfill: final balance after deposit</x:v>
      </x:c>
      <x:c r="G149" s="11" t="n">
        <x:v>3910</x:v>
      </x:c>
      <x:c r="H149" s="11" t="n">
        <x:v>510</x:v>
      </x:c>
      <x:c r="I149" s="9" t="str">
        <x:v>Y</x:v>
      </x:c>
      <x:c r="J149" s="9" t="str">
        <x:v>Medium</x:v>
      </x:c>
      <x:c r="K149" s="9" t="str">
        <x:v>TradePilot invoice record</x:v>
      </x:c>
      <x:c r="L149" s="9" t="str">
        <x:v>Invoice record used; payment date is earlier where applicable.</x:v>
      </x:c>
      <x:c r="M149" s="9" t="str">
        <x:v>INV-J7-F</x:v>
      </x:c>
    </x:row>
    <x:row r="150" ht="15" hidden="0" customHeight="1">
      <x:c r="A150" s="9" t="str">
        <x:v>Invoice basis</x:v>
      </x:c>
      <x:c r="B150" s="9" t="str">
        <x:v>1 Feb-31 Jul 2026</x:v>
      </x:c>
      <x:c r="C150" s="10" t="n">
        <x:v>46107.958333333336</x:v>
      </x:c>
      <x:c r="D150" s="9" t="str">
        <x:v>Sale</x:v>
      </x:c>
      <x:c r="E150" s="9" t="str">
        <x:v>BNZ bank</x:v>
      </x:c>
      <x:c r="F150" s="9" t="str">
        <x:v>DAY SAMUEL DA · Mural wallpa</x:v>
      </x:c>
      <x:c r="G150" s="11" t="n">
        <x:v>248.4</x:v>
      </x:c>
      <x:c r="H150" s="11" t="n">
        <x:v>32.4</x:v>
      </x:c>
      <x:c r="I150" s="9" t="str">
        <x:v>Y</x:v>
      </x:c>
      <x:c r="J150" s="9" t="str">
        <x:v>High</x:v>
      </x:c>
      <x:c r="K150" s="9" t="str">
        <x:v>Customer payment; payment triggers invoice-basis time of supply</x:v>
      </x:c>
      <x:c r="L150" s="9" t="str">
        <x:v>No separate TradePilot invoice found.</x:v>
      </x:c>
      <x:c r="M150" s="9" t="str">
        <x:v>4qwkld</x:v>
      </x:c>
    </x:row>
    <x:row r="151" ht="15" hidden="0" customHeight="1">
      <x:c r="A151" s="9" t="str">
        <x:v>Invoice basis</x:v>
      </x:c>
      <x:c r="B151" s="9" t="str">
        <x:v>1 Feb-31 Jul 2026</x:v>
      </x:c>
      <x:c r="C151" s="10" t="n">
        <x:v>46109.958333333336</x:v>
      </x:c>
      <x:c r="D151" s="9" t="str">
        <x:v>Purchase</x:v>
      </x:c>
      <x:c r="E151" s="9" t="str">
        <x:v>BNZ bank (pre-import)</x:v>
      </x:c>
      <x:c r="F151" s="9" t="str">
        <x:v>OPENAI · 5996 · 449216281457</x:v>
      </x:c>
      <x:c r="G151" s="11" t="n">
        <x:v>20.5</x:v>
      </x:c>
      <x:c r="H151" s="11" t="n">
        <x:v>2.67</x:v>
      </x:c>
      <x:c r="I151" s="9" t="str">
        <x:v>Y</x:v>
      </x:c>
      <x:c r="J151" s="9" t="str">
        <x:v>Review</x:v>
      </x:c>
      <x:c r="K151" s="9" t="str">
        <x:v>Bank + TradePilot; check supplier invoice shows NZ GST</x:v>
      </x:c>
      <x:c r="L151" s="9" t="str">
        <x:v>Included provisionally; overseas software is claimable only if NZ GST was actually charged.</x:v>
      </x:c>
      <x:c r="M151" s="9" t="str">
        <x:v>gblnt</x:v>
      </x:c>
    </x:row>
    <x:row r="152" ht="15" hidden="0" customHeight="1">
      <x:c r="A152" s="9" t="str">
        <x:v>Invoice basis</x:v>
      </x:c>
      <x:c r="B152" s="9" t="str">
        <x:v>1 Feb-31 Jul 2026</x:v>
      </x:c>
      <x:c r="C152" s="10" t="n">
        <x:v>46110.958333333336</x:v>
      </x:c>
      <x:c r="D152" s="9" t="str">
        <x:v>Purchase</x:v>
      </x:c>
      <x:c r="E152" s="9" t="str">
        <x:v>BNZ bank (pre-import)</x:v>
      </x:c>
      <x:c r="F152" s="9" t="str">
        <x:v>MITRE 10 MEGA WANAKA · 5996 · 434667301420</x:v>
      </x:c>
      <x:c r="G152" s="11" t="n">
        <x:v>7.99</x:v>
      </x:c>
      <x:c r="H152" s="11" t="n">
        <x:v>1.04</x:v>
      </x:c>
      <x:c r="I152" s="9" t="str">
        <x:v>Y</x:v>
      </x:c>
      <x:c r="J152" s="9" t="str">
        <x:v>High</x:v>
      </x:c>
      <x:c r="K152" s="9" t="str">
        <x:v>Bank + TradePilot</x:v>
      </x:c>
      <x:c r="L152" s="9" t="str">
        <x:v>Business purchase.</x:v>
      </x:c>
      <x:c r="M152" s="9" t="str">
        <x:v>tmyex5</x:v>
      </x:c>
    </x:row>
    <x:row r="153" ht="15" hidden="0" customHeight="1">
      <x:c r="A153" s="9" t="str">
        <x:v>Invoice basis</x:v>
      </x:c>
      <x:c r="B153" s="9" t="str">
        <x:v>1 Feb-31 Jul 2026</x:v>
      </x:c>
      <x:c r="C153" s="10" t="n">
        <x:v>46110.958333333336</x:v>
      </x:c>
      <x:c r="D153" s="9" t="str">
        <x:v>Purchase</x:v>
      </x:c>
      <x:c r="E153" s="9" t="str">
        <x:v>BNZ bank (pre-import)</x:v>
      </x:c>
      <x:c r="F153" s="9" t="str">
        <x:v>MITRE 10 MEGA WANAKA · 5996 · 434667301421</x:v>
      </x:c>
      <x:c r="G153" s="11" t="n">
        <x:v>47.94</x:v>
      </x:c>
      <x:c r="H153" s="11" t="n">
        <x:v>6.25</x:v>
      </x:c>
      <x:c r="I153" s="9" t="str">
        <x:v>Y</x:v>
      </x:c>
      <x:c r="J153" s="9" t="str">
        <x:v>High</x:v>
      </x:c>
      <x:c r="K153" s="9" t="str">
        <x:v>Bank + TradePilot</x:v>
      </x:c>
      <x:c r="L153" s="9" t="str">
        <x:v>Business purchase.</x:v>
      </x:c>
      <x:c r="M153" s="9" t="str">
        <x:v>2drpo9</x:v>
      </x:c>
    </x:row>
    <x:row r="154" ht="15" hidden="0" customHeight="1">
      <x:c r="A154" s="9" t="str">
        <x:v>Invoice basis</x:v>
      </x:c>
      <x:c r="B154" s="9" t="str">
        <x:v>1 Feb-31 Jul 2026</x:v>
      </x:c>
      <x:c r="C154" s="10" t="n">
        <x:v>46110.958333333336</x:v>
      </x:c>
      <x:c r="D154" s="9" t="str">
        <x:v>Purchase</x:v>
      </x:c>
      <x:c r="E154" s="9" t="str">
        <x:v>BNZ bank (pre-import)</x:v>
      </x:c>
      <x:c r="F154" s="9" t="str">
        <x:v>BP CONNECT WANAKA · 5996 · 492102301455</x:v>
      </x:c>
      <x:c r="G154" s="11" t="n">
        <x:v>110</x:v>
      </x:c>
      <x:c r="H154" s="11" t="n">
        <x:v>14.35</x:v>
      </x:c>
      <x:c r="I154" s="9" t="str">
        <x:v>Y</x:v>
      </x:c>
      <x:c r="J154" s="9" t="str">
        <x:v>High</x:v>
      </x:c>
      <x:c r="K154" s="9" t="str">
        <x:v>Bank + TradePilot</x:v>
      </x:c>
      <x:c r="L154" s="9" t="str">
        <x:v>Business purchase.</x:v>
      </x:c>
      <x:c r="M154" s="9" t="str">
        <x:v>7clvjw</x:v>
      </x:c>
    </x:row>
    <x:row r="155" ht="15" hidden="0" customHeight="1">
      <x:c r="A155" s="9" t="str">
        <x:v>Invoice basis</x:v>
      </x:c>
      <x:c r="B155" s="9" t="str">
        <x:v>1 Feb-31 Jul 2026</x:v>
      </x:c>
      <x:c r="C155" s="10" t="n">
        <x:v>46110.958333333336</x:v>
      </x:c>
      <x:c r="D155" s="9" t="str">
        <x:v>Purchase</x:v>
      </x:c>
      <x:c r="E155" s="9" t="str">
        <x:v>BNZ bank (pre-import)</x:v>
      </x:c>
      <x:c r="F155" s="9" t="str">
        <x:v>ALI BARBERS · 5996 · 448131301406</x:v>
      </x:c>
      <x:c r="G155" s="11" t="n">
        <x:v>58</x:v>
      </x:c>
      <x:c r="H155" s="11" t="n">
        <x:v>0</x:v>
      </x:c>
      <x:c r="I155" s="9" t="str">
        <x:v>N</x:v>
      </x:c>
      <x:c r="J155" s="9" t="str">
        <x:v>High</x:v>
      </x:c>
      <x:c r="K155" s="9" t="str">
        <x:v>Bank description</x:v>
      </x:c>
      <x:c r="L155" s="9" t="str">
        <x:v>Personal, transfer, tax, cash withdrawal, food or entertainment; no GST claim.</x:v>
      </x:c>
      <x:c r="M155" s="9" t="str">
        <x:v>up04le</x:v>
      </x:c>
    </x:row>
    <x:row r="156" ht="15" hidden="0" customHeight="1">
      <x:c r="A156" s="9" t="str">
        <x:v>Invoice basis</x:v>
      </x:c>
      <x:c r="B156" s="9" t="str">
        <x:v>1 Feb-31 Jul 2026</x:v>
      </x:c>
      <x:c r="C156" s="10" t="n">
        <x:v>46111.958333333336</x:v>
      </x:c>
      <x:c r="D156" s="9" t="str">
        <x:v>Purchase</x:v>
      </x:c>
      <x:c r="E156" s="9" t="str">
        <x:v>BNZ bank (pre-import)</x:v>
      </x:c>
      <x:c r="F156" s="9" t="str">
        <x:v>MITRE 10 MEGA WANAKA · 5996 · 434667311311</x:v>
      </x:c>
      <x:c r="G156" s="11" t="n">
        <x:v>182.2</x:v>
      </x:c>
      <x:c r="H156" s="11" t="n">
        <x:v>23.77</x:v>
      </x:c>
      <x:c r="I156" s="9" t="str">
        <x:v>Y</x:v>
      </x:c>
      <x:c r="J156" s="9" t="str">
        <x:v>High</x:v>
      </x:c>
      <x:c r="K156" s="9" t="str">
        <x:v>Bank + TradePilot</x:v>
      </x:c>
      <x:c r="L156" s="9" t="str">
        <x:v>Business purchase.</x:v>
      </x:c>
      <x:c r="M156" s="9" t="str">
        <x:v>wwtnis</x:v>
      </x:c>
    </x:row>
    <x:row r="157" ht="15" hidden="0" customHeight="1">
      <x:c r="A157" s="9" t="str">
        <x:v>Invoice basis</x:v>
      </x:c>
      <x:c r="B157" s="9" t="str">
        <x:v>1 Feb-31 Jul 2026</x:v>
      </x:c>
      <x:c r="C157" s="10" t="n">
        <x:v>46112.958333333336</x:v>
      </x:c>
      <x:c r="D157" s="9" t="str">
        <x:v>Purchase</x:v>
      </x:c>
      <x:c r="E157" s="9" t="str">
        <x:v>BNZ bank (pre-import)</x:v>
      </x:c>
      <x:c r="F157" s="9" t="str">
        <x:v>MITRE 10 MEGA WANAKA · 5996 · 434667011423</x:v>
      </x:c>
      <x:c r="G157" s="11" t="n">
        <x:v>152.45</x:v>
      </x:c>
      <x:c r="H157" s="11" t="n">
        <x:v>19.88</x:v>
      </x:c>
      <x:c r="I157" s="9" t="str">
        <x:v>Y</x:v>
      </x:c>
      <x:c r="J157" s="9" t="str">
        <x:v>High</x:v>
      </x:c>
      <x:c r="K157" s="9" t="str">
        <x:v>Bank + TradePilot</x:v>
      </x:c>
      <x:c r="L157" s="9" t="str">
        <x:v>Business purchase.</x:v>
      </x:c>
      <x:c r="M157" s="9" t="str">
        <x:v>h0e5ht</x:v>
      </x:c>
    </x:row>
    <x:row r="158" ht="15" hidden="0" customHeight="1">
      <x:c r="A158" s="9" t="str">
        <x:v>Invoice basis</x:v>
      </x:c>
      <x:c r="B158" s="9" t="str">
        <x:v>1 Feb-31 Jul 2026</x:v>
      </x:c>
      <x:c r="C158" s="10" t="n">
        <x:v>46112.958333333336</x:v>
      </x:c>
      <x:c r="D158" s="9" t="str">
        <x:v>Purchase</x:v>
      </x:c>
      <x:c r="E158" s="9" t="str">
        <x:v>BNZ bank (pre-import)</x:v>
      </x:c>
      <x:c r="F158" s="9" t="str">
        <x:v>Resene - Wanaka 087 · 5996 · 420549010942</x:v>
      </x:c>
      <x:c r="G158" s="11" t="n">
        <x:v>223.83</x:v>
      </x:c>
      <x:c r="H158" s="11" t="n">
        <x:v>29.2</x:v>
      </x:c>
      <x:c r="I158" s="9" t="str">
        <x:v>Y</x:v>
      </x:c>
      <x:c r="J158" s="9" t="str">
        <x:v>High</x:v>
      </x:c>
      <x:c r="K158" s="9" t="str">
        <x:v>Bank + TradePilot</x:v>
      </x:c>
      <x:c r="L158" s="9" t="str">
        <x:v>Business purchase.</x:v>
      </x:c>
      <x:c r="M158" s="9" t="str">
        <x:v>qjn7pd</x:v>
      </x:c>
    </x:row>
    <x:row r="159" ht="15" hidden="0" customHeight="1">
      <x:c r="A159" s="9" t="str">
        <x:v>Invoice basis</x:v>
      </x:c>
      <x:c r="B159" s="9" t="str">
        <x:v>1 Feb-31 Jul 2026</x:v>
      </x:c>
      <x:c r="C159" s="10" t="n">
        <x:v>46112.958333333336</x:v>
      </x:c>
      <x:c r="D159" s="9" t="str">
        <x:v>Sale</x:v>
      </x:c>
      <x:c r="E159" s="9" t="str">
        <x:v>TradePilot invoice</x:v>
      </x:c>
      <x:c r="F159" s="9" t="str">
        <x:v>INV-J12 · deposit · Backfilled from existing deposit income entry</x:v>
      </x:c>
      <x:c r="G159" s="11" t="n">
        <x:v>2501</x:v>
      </x:c>
      <x:c r="H159" s="11" t="n">
        <x:v>326.22</x:v>
      </x:c>
      <x:c r="I159" s="9" t="str">
        <x:v>Y</x:v>
      </x:c>
      <x:c r="J159" s="9" t="str">
        <x:v>Medium</x:v>
      </x:c>
      <x:c r="K159" s="9" t="str">
        <x:v>Backfilled TradePilot invoice record</x:v>
      </x:c>
      <x:c r="L159" s="9" t="str">
        <x:v>Invoice record used; payment date is earlier where applicable.</x:v>
      </x:c>
      <x:c r="M159" s="9" t="str">
        <x:v>INV-J12</x:v>
      </x:c>
    </x:row>
    <x:row r="160" ht="15" hidden="0" customHeight="1">
      <x:c r="A160" s="9" t="str">
        <x:v>Invoice basis</x:v>
      </x:c>
      <x:c r="B160" s="9" t="str">
        <x:v>1 Feb-31 Jul 2026</x:v>
      </x:c>
      <x:c r="C160" s="10" t="n">
        <x:v>46113.958333333336</x:v>
      </x:c>
      <x:c r="D160" s="9" t="str">
        <x:v>Purchase</x:v>
      </x:c>
      <x:c r="E160" s="9" t="str">
        <x:v>BNZ bank (pre-import)</x:v>
      </x:c>
      <x:c r="F160" s="9" t="str">
        <x:v>Google Workspace_lak · 5996 · 453241021356</x:v>
      </x:c>
      <x:c r="G160" s="11" t="n">
        <x:v>14.02</x:v>
      </x:c>
      <x:c r="H160" s="11" t="n">
        <x:v>1.83</x:v>
      </x:c>
      <x:c r="I160" s="9" t="str">
        <x:v>Y</x:v>
      </x:c>
      <x:c r="J160" s="9" t="str">
        <x:v>High</x:v>
      </x:c>
      <x:c r="K160" s="9" t="str">
        <x:v>Bank + TradePilot</x:v>
      </x:c>
      <x:c r="L160" s="9" t="str">
        <x:v>Business purchase.</x:v>
      </x:c>
      <x:c r="M160" s="9" t="str">
        <x:v>vx3q57</x:v>
      </x:c>
    </x:row>
    <x:row r="161" ht="15" hidden="0" customHeight="1">
      <x:c r="A161" s="9" t="str">
        <x:v>Invoice basis</x:v>
      </x:c>
      <x:c r="B161" s="9" t="str">
        <x:v>1 Feb-31 Jul 2026</x:v>
      </x:c>
      <x:c r="C161" s="10" t="n">
        <x:v>46113.958333333336</x:v>
      </x:c>
      <x:c r="D161" s="9" t="str">
        <x:v>Purchase</x:v>
      </x:c>
      <x:c r="E161" s="9" t="str">
        <x:v>BNZ bank (pre-import)</x:v>
      </x:c>
      <x:c r="F161" s="9" t="str">
        <x:v>CLAUDE.AI SUBSCRIPTI · 5996 · 401134022140</x:v>
      </x:c>
      <x:c r="G161" s="11" t="n">
        <x:v>40</x:v>
      </x:c>
      <x:c r="H161" s="11" t="n">
        <x:v>5.22</x:v>
      </x:c>
      <x:c r="I161" s="9" t="str">
        <x:v>Y</x:v>
      </x:c>
      <x:c r="J161" s="9" t="str">
        <x:v>Review</x:v>
      </x:c>
      <x:c r="K161" s="9" t="str">
        <x:v>Bank + TradePilot; check supplier invoice shows NZ GST</x:v>
      </x:c>
      <x:c r="L161" s="9" t="str">
        <x:v>Included provisionally; overseas software is claimable only if NZ GST was actually charged.</x:v>
      </x:c>
      <x:c r="M161" s="9" t="str">
        <x:v>who88x</x:v>
      </x:c>
    </x:row>
    <x:row r="162" ht="15" hidden="0" customHeight="1">
      <x:c r="A162" s="9" t="str">
        <x:v>Invoice basis</x:v>
      </x:c>
      <x:c r="B162" s="9" t="str">
        <x:v>1 Feb-31 Jul 2026</x:v>
      </x:c>
      <x:c r="C162" s="10" t="n">
        <x:v>46113.958333333336</x:v>
      </x:c>
      <x:c r="D162" s="9" t="str">
        <x:v>Purchase</x:v>
      </x:c>
      <x:c r="E162" s="9" t="str">
        <x:v>BNZ bank (pre-import)</x:v>
      </x:c>
      <x:c r="F162" s="9" t="str">
        <x:v>CURSOR  AI POWERED I · 5996 · 401134022237</x:v>
      </x:c>
      <x:c r="G162" s="11" t="n">
        <x:v>36.46</x:v>
      </x:c>
      <x:c r="H162" s="11" t="n">
        <x:v>4.76</x:v>
      </x:c>
      <x:c r="I162" s="9" t="str">
        <x:v>Y</x:v>
      </x:c>
      <x:c r="J162" s="9" t="str">
        <x:v>Review</x:v>
      </x:c>
      <x:c r="K162" s="9" t="str">
        <x:v>Bank + TradePilot; check supplier invoice shows NZ GST</x:v>
      </x:c>
      <x:c r="L162" s="9" t="str">
        <x:v>Included provisionally; overseas software is claimable only if NZ GST was actually charged.</x:v>
      </x:c>
      <x:c r="M162" s="9" t="str">
        <x:v>zaoeuq</x:v>
      </x:c>
    </x:row>
    <x:row r="163" ht="15" hidden="0" customHeight="1">
      <x:c r="A163" s="9" t="str">
        <x:v>Invoice basis</x:v>
      </x:c>
      <x:c r="B163" s="9" t="str">
        <x:v>1 Feb-31 Jul 2026</x:v>
      </x:c>
      <x:c r="C163" s="10" t="n">
        <x:v>46114.958333333336</x:v>
      </x:c>
      <x:c r="D163" s="9" t="str">
        <x:v>Purchase</x:v>
      </x:c>
      <x:c r="E163" s="9" t="str">
        <x:v>BNZ bank (pre-import)</x:v>
      </x:c>
      <x:c r="F163" s="9" t="str">
        <x:v>BIKE GLENDHU LTD · 5996 · 451836031542</x:v>
      </x:c>
      <x:c r="G163" s="11" t="n">
        <x:v>22.44</x:v>
      </x:c>
      <x:c r="H163" s="11" t="n">
        <x:v>0</x:v>
      </x:c>
      <x:c r="I163" s="9" t="str">
        <x:v>N</x:v>
      </x:c>
      <x:c r="J163" s="9" t="str">
        <x:v>High</x:v>
      </x:c>
      <x:c r="K163" s="9" t="str">
        <x:v>Bank description</x:v>
      </x:c>
      <x:c r="L163" s="9" t="str">
        <x:v>Personal, transfer, tax, cash withdrawal, food or entertainment; no GST claim.</x:v>
      </x:c>
      <x:c r="M163" s="9" t="str">
        <x:v>8dyve4</x:v>
      </x:c>
    </x:row>
    <x:row r="164" ht="15" hidden="0" customHeight="1">
      <x:c r="A164" s="9" t="str">
        <x:v>Invoice basis</x:v>
      </x:c>
      <x:c r="B164" s="9" t="str">
        <x:v>1 Feb-31 Jul 2026</x:v>
      </x:c>
      <x:c r="C164" s="10" t="n">
        <x:v>46117</x:v>
      </x:c>
      <x:c r="D164" s="9" t="str">
        <x:v>Purchase</x:v>
      </x:c>
      <x:c r="E164" s="9" t="str">
        <x:v>BNZ bank (pre-import)</x:v>
      </x:c>
      <x:c r="F164" s="9" t="str">
        <x:v>BP CONNECT WANAKA · 5996 · 492102050839</x:v>
      </x:c>
      <x:c r="G164" s="11" t="n">
        <x:v>100.35</x:v>
      </x:c>
      <x:c r="H164" s="11" t="n">
        <x:v>13.09</x:v>
      </x:c>
      <x:c r="I164" s="9" t="str">
        <x:v>Y</x:v>
      </x:c>
      <x:c r="J164" s="9" t="str">
        <x:v>High</x:v>
      </x:c>
      <x:c r="K164" s="9" t="str">
        <x:v>Bank + TradePilot</x:v>
      </x:c>
      <x:c r="L164" s="9" t="str">
        <x:v>Business purchase.</x:v>
      </x:c>
      <x:c r="M164" s="9" t="str">
        <x:v>80tyi5</x:v>
      </x:c>
    </x:row>
    <x:row r="165" ht="15" hidden="0" customHeight="1">
      <x:c r="A165" s="9" t="str">
        <x:v>Invoice basis</x:v>
      </x:c>
      <x:c r="B165" s="9" t="str">
        <x:v>1 Feb-31 Jul 2026</x:v>
      </x:c>
      <x:c r="C165" s="10" t="n">
        <x:v>46118</x:v>
      </x:c>
      <x:c r="D165" s="9" t="str">
        <x:v>Purchase</x:v>
      </x:c>
      <x:c r="E165" s="9" t="str">
        <x:v>BNZ bank (pre-import)</x:v>
      </x:c>
      <x:c r="F165" s="9" t="str">
        <x:v>MITRE 10 MEGA WANAKA · 5996 · 434667061324</x:v>
      </x:c>
      <x:c r="G165" s="11" t="n">
        <x:v>53.92</x:v>
      </x:c>
      <x:c r="H165" s="11" t="n">
        <x:v>7.03</x:v>
      </x:c>
      <x:c r="I165" s="9" t="str">
        <x:v>Y</x:v>
      </x:c>
      <x:c r="J165" s="9" t="str">
        <x:v>High</x:v>
      </x:c>
      <x:c r="K165" s="9" t="str">
        <x:v>Bank + TradePilot</x:v>
      </x:c>
      <x:c r="L165" s="9" t="str">
        <x:v>Business purchase.</x:v>
      </x:c>
      <x:c r="M165" s="9" t="str">
        <x:v>e4374b</x:v>
      </x:c>
    </x:row>
    <x:row r="166" ht="15" hidden="0" customHeight="1">
      <x:c r="A166" s="9" t="str">
        <x:v>Invoice basis</x:v>
      </x:c>
      <x:c r="B166" s="9" t="str">
        <x:v>1 Feb-31 Jul 2026</x:v>
      </x:c>
      <x:c r="C166" s="10" t="n">
        <x:v>46118</x:v>
      </x:c>
      <x:c r="D166" s="9" t="str">
        <x:v>Purchase</x:v>
      </x:c>
      <x:c r="E166" s="9" t="str">
        <x:v>BNZ bank (pre-import)</x:v>
      </x:c>
      <x:c r="F166" s="9" t="str">
        <x:v>MITRE 10 MEGA WANAKA · 5996 · 434667061325</x:v>
      </x:c>
      <x:c r="G166" s="11" t="n">
        <x:v>35.18</x:v>
      </x:c>
      <x:c r="H166" s="11" t="n">
        <x:v>4.59</x:v>
      </x:c>
      <x:c r="I166" s="9" t="str">
        <x:v>Y</x:v>
      </x:c>
      <x:c r="J166" s="9" t="str">
        <x:v>High</x:v>
      </x:c>
      <x:c r="K166" s="9" t="str">
        <x:v>Bank + TradePilot</x:v>
      </x:c>
      <x:c r="L166" s="9" t="str">
        <x:v>Business purchase.</x:v>
      </x:c>
      <x:c r="M166" s="9" t="str">
        <x:v>663vey</x:v>
      </x:c>
    </x:row>
    <x:row r="167" ht="15" hidden="0" customHeight="1">
      <x:c r="A167" s="9" t="str">
        <x:v>Invoice basis</x:v>
      </x:c>
      <x:c r="B167" s="9" t="str">
        <x:v>1 Feb-31 Jul 2026</x:v>
      </x:c>
      <x:c r="C167" s="10" t="n">
        <x:v>46118</x:v>
      </x:c>
      <x:c r="D167" s="9" t="str">
        <x:v>Sale</x:v>
      </x:c>
      <x:c r="E167" s="9" t="str">
        <x:v>TradePilot invoice</x:v>
      </x:c>
      <x:c r="F167" s="9" t="str">
        <x:v>INV-027 · deposit · 30% deposit invoice (issued 06/04/2026, paid 15/04/2026)</x:v>
      </x:c>
      <x:c r="G167" s="11" t="n">
        <x:v>2121.75</x:v>
      </x:c>
      <x:c r="H167" s="11" t="n">
        <x:v>276.75</x:v>
      </x:c>
      <x:c r="I167" s="9" t="str">
        <x:v>Y</x:v>
      </x:c>
      <x:c r="J167" s="9" t="str">
        <x:v>Medium</x:v>
      </x:c>
      <x:c r="K167" s="9" t="str">
        <x:v>TradePilot invoice record</x:v>
      </x:c>
      <x:c r="L167" s="9" t="str">
        <x:v>Invoice record used; payment date is earlier where applicable.</x:v>
      </x:c>
      <x:c r="M167" s="9" t="str">
        <x:v>INV-027</x:v>
      </x:c>
    </x:row>
    <x:row r="168" ht="15" hidden="0" customHeight="1">
      <x:c r="A168" s="9" t="str">
        <x:v>Invoice basis</x:v>
      </x:c>
      <x:c r="B168" s="9" t="str">
        <x:v>1 Feb-31 Jul 2026</x:v>
      </x:c>
      <x:c r="C168" s="10" t="n">
        <x:v>46119</x:v>
      </x:c>
      <x:c r="D168" s="9" t="str">
        <x:v>Purchase</x:v>
      </x:c>
      <x:c r="E168" s="9" t="str">
        <x:v>BNZ bank (pre-import)</x:v>
      </x:c>
      <x:c r="F168" s="9" t="str">
        <x:v>OPENAI *CHATGPT SUBS · 5996 · 449216072006</x:v>
      </x:c>
      <x:c r="G168" s="11" t="n">
        <x:v>41.41</x:v>
      </x:c>
      <x:c r="H168" s="11" t="n">
        <x:v>5.4</x:v>
      </x:c>
      <x:c r="I168" s="9" t="str">
        <x:v>Y</x:v>
      </x:c>
      <x:c r="J168" s="9" t="str">
        <x:v>Review</x:v>
      </x:c>
      <x:c r="K168" s="9" t="str">
        <x:v>Bank + TradePilot; check supplier invoice shows NZ GST</x:v>
      </x:c>
      <x:c r="L168" s="9" t="str">
        <x:v>Included provisionally; overseas software is claimable only if NZ GST was actually charged.</x:v>
      </x:c>
      <x:c r="M168" s="9" t="str">
        <x:v>j97vwj</x:v>
      </x:c>
    </x:row>
    <x:row r="169" ht="15" hidden="0" customHeight="1">
      <x:c r="A169" s="9" t="str">
        <x:v>Invoice basis</x:v>
      </x:c>
      <x:c r="B169" s="9" t="str">
        <x:v>1 Feb-31 Jul 2026</x:v>
      </x:c>
      <x:c r="C169" s="10" t="n">
        <x:v>46120</x:v>
      </x:c>
      <x:c r="D169" s="9" t="str">
        <x:v>Purchase</x:v>
      </x:c>
      <x:c r="E169" s="9" t="str">
        <x:v>BNZ bank (pre-import)</x:v>
      </x:c>
      <x:c r="F169" s="9" t="str">
        <x:v>RS TRADE CENTRE · 5996 · 434667081421</x:v>
      </x:c>
      <x:c r="G169" s="11" t="n">
        <x:v>100.97</x:v>
      </x:c>
      <x:c r="H169" s="11" t="n">
        <x:v>13.17</x:v>
      </x:c>
      <x:c r="I169" s="9" t="str">
        <x:v>Y</x:v>
      </x:c>
      <x:c r="J169" s="9" t="str">
        <x:v>High</x:v>
      </x:c>
      <x:c r="K169" s="9" t="str">
        <x:v>Bank + TradePilot</x:v>
      </x:c>
      <x:c r="L169" s="9" t="str">
        <x:v>Business purchase.</x:v>
      </x:c>
      <x:c r="M169" s="9" t="str">
        <x:v>h0i3ya</x:v>
      </x:c>
    </x:row>
    <x:row r="170" ht="15" hidden="0" customHeight="1">
      <x:c r="A170" s="9" t="str">
        <x:v>Invoice basis</x:v>
      </x:c>
      <x:c r="B170" s="9" t="str">
        <x:v>1 Feb-31 Jul 2026</x:v>
      </x:c>
      <x:c r="C170" s="10" t="n">
        <x:v>46120</x:v>
      </x:c>
      <x:c r="D170" s="9" t="str">
        <x:v>Purchase</x:v>
      </x:c>
      <x:c r="E170" s="9" t="str">
        <x:v>BNZ bank (pre-import)</x:v>
      </x:c>
      <x:c r="F170" s="9" t="str">
        <x:v>Resene - Wanaka 087 · 5996 · 420549080951</x:v>
      </x:c>
      <x:c r="G170" s="11" t="n">
        <x:v>132.49</x:v>
      </x:c>
      <x:c r="H170" s="11" t="n">
        <x:v>17.28</x:v>
      </x:c>
      <x:c r="I170" s="9" t="str">
        <x:v>Y</x:v>
      </x:c>
      <x:c r="J170" s="9" t="str">
        <x:v>High</x:v>
      </x:c>
      <x:c r="K170" s="9" t="str">
        <x:v>Bank + TradePilot</x:v>
      </x:c>
      <x:c r="L170" s="9" t="str">
        <x:v>Business purchase.</x:v>
      </x:c>
      <x:c r="M170" s="9" t="str">
        <x:v>fz1nqo</x:v>
      </x:c>
    </x:row>
    <x:row r="171" ht="15" hidden="0" customHeight="1">
      <x:c r="A171" s="9" t="str">
        <x:v>Invoice basis</x:v>
      </x:c>
      <x:c r="B171" s="9" t="str">
        <x:v>1 Feb-31 Jul 2026</x:v>
      </x:c>
      <x:c r="C171" s="10" t="n">
        <x:v>46120</x:v>
      </x:c>
      <x:c r="D171" s="9" t="str">
        <x:v>Purchase</x:v>
      </x:c>
      <x:c r="E171" s="9" t="str">
        <x:v>BNZ bank (pre-import)</x:v>
      </x:c>
      <x:c r="F171" s="9" t="str">
        <x:v>Resene - Wanaka 087 · 5996 · 420549081047</x:v>
      </x:c>
      <x:c r="G171" s="11" t="n">
        <x:v>39.1</x:v>
      </x:c>
      <x:c r="H171" s="11" t="n">
        <x:v>5.1</x:v>
      </x:c>
      <x:c r="I171" s="9" t="str">
        <x:v>Y</x:v>
      </x:c>
      <x:c r="J171" s="9" t="str">
        <x:v>High</x:v>
      </x:c>
      <x:c r="K171" s="9" t="str">
        <x:v>Bank + TradePilot</x:v>
      </x:c>
      <x:c r="L171" s="9" t="str">
        <x:v>Business purchase.</x:v>
      </x:c>
      <x:c r="M171" s="9" t="str">
        <x:v>ormwt3</x:v>
      </x:c>
    </x:row>
    <x:row r="172" ht="15" hidden="0" customHeight="1">
      <x:c r="A172" s="9" t="str">
        <x:v>Invoice basis</x:v>
      </x:c>
      <x:c r="B172" s="9" t="str">
        <x:v>1 Feb-31 Jul 2026</x:v>
      </x:c>
      <x:c r="C172" s="10" t="n">
        <x:v>46120</x:v>
      </x:c>
      <x:c r="D172" s="9" t="str">
        <x:v>Sale</x:v>
      </x:c>
      <x:c r="E172" s="9" t="str">
        <x:v>TradePilot invoice</x:v>
      </x:c>
      <x:c r="F172" s="9" t="str">
        <x:v>INV-J14 · final · Pass-2 backfill: from quote_amount</x:v>
      </x:c>
      <x:c r="G172" s="11" t="n">
        <x:v>563.5</x:v>
      </x:c>
      <x:c r="H172" s="11" t="n">
        <x:v>73.5</x:v>
      </x:c>
      <x:c r="I172" s="9" t="str">
        <x:v>Y</x:v>
      </x:c>
      <x:c r="J172" s="9" t="str">
        <x:v>Medium</x:v>
      </x:c>
      <x:c r="K172" s="9" t="str">
        <x:v>TradePilot invoice record</x:v>
      </x:c>
      <x:c r="L172" s="9" t="str">
        <x:v>Invoice record used; payment date is earlier where applicable.</x:v>
      </x:c>
      <x:c r="M172" s="9" t="str">
        <x:v>INV-J14</x:v>
      </x:c>
    </x:row>
    <x:row r="173" ht="15" hidden="0" customHeight="1">
      <x:c r="A173" s="9" t="str">
        <x:v>Invoice basis</x:v>
      </x:c>
      <x:c r="B173" s="9" t="str">
        <x:v>1 Feb-31 Jul 2026</x:v>
      </x:c>
      <x:c r="C173" s="10" t="n">
        <x:v>46121</x:v>
      </x:c>
      <x:c r="D173" s="9" t="str">
        <x:v>Purchase</x:v>
      </x:c>
      <x:c r="E173" s="9" t="str">
        <x:v>BNZ bank (pre-import)</x:v>
      </x:c>
      <x:c r="F173" s="9" t="str">
        <x:v>Resene - Wanaka 087 · 5996 · 420549091000</x:v>
      </x:c>
      <x:c r="G173" s="11" t="n">
        <x:v>42.18</x:v>
      </x:c>
      <x:c r="H173" s="11" t="n">
        <x:v>5.5</x:v>
      </x:c>
      <x:c r="I173" s="9" t="str">
        <x:v>Y</x:v>
      </x:c>
      <x:c r="J173" s="9" t="str">
        <x:v>High</x:v>
      </x:c>
      <x:c r="K173" s="9" t="str">
        <x:v>Bank + TradePilot</x:v>
      </x:c>
      <x:c r="L173" s="9" t="str">
        <x:v>Business purchase.</x:v>
      </x:c>
      <x:c r="M173" s="9" t="str">
        <x:v>lghf9s</x:v>
      </x:c>
    </x:row>
    <x:row r="174" ht="15" hidden="0" customHeight="1">
      <x:c r="A174" s="9" t="str">
        <x:v>Invoice basis</x:v>
      </x:c>
      <x:c r="B174" s="9" t="str">
        <x:v>1 Feb-31 Jul 2026</x:v>
      </x:c>
      <x:c r="C174" s="10" t="n">
        <x:v>46121</x:v>
      </x:c>
      <x:c r="D174" s="9" t="str">
        <x:v>Purchase</x:v>
      </x:c>
      <x:c r="E174" s="9" t="str">
        <x:v>BNZ bank (pre-import)</x:v>
      </x:c>
      <x:c r="F174" s="9" t="str">
        <x:v>MITRE 10 MEGA WANAKA · 5996 · 434667091252</x:v>
      </x:c>
      <x:c r="G174" s="11" t="n">
        <x:v>78.69</x:v>
      </x:c>
      <x:c r="H174" s="11" t="n">
        <x:v>10.26</x:v>
      </x:c>
      <x:c r="I174" s="9" t="str">
        <x:v>Y</x:v>
      </x:c>
      <x:c r="J174" s="9" t="str">
        <x:v>High</x:v>
      </x:c>
      <x:c r="K174" s="9" t="str">
        <x:v>Bank + TradePilot</x:v>
      </x:c>
      <x:c r="L174" s="9" t="str">
        <x:v>Business purchase.</x:v>
      </x:c>
      <x:c r="M174" s="9" t="str">
        <x:v>v4ht0</x:v>
      </x:c>
    </x:row>
    <x:row r="175" ht="15" hidden="0" customHeight="1">
      <x:c r="A175" s="9" t="str">
        <x:v>Invoice basis</x:v>
      </x:c>
      <x:c r="B175" s="9" t="str">
        <x:v>1 Feb-31 Jul 2026</x:v>
      </x:c>
      <x:c r="C175" s="10" t="n">
        <x:v>46122</x:v>
      </x:c>
      <x:c r="D175" s="9" t="str">
        <x:v>Purchase</x:v>
      </x:c>
      <x:c r="E175" s="9" t="str">
        <x:v>BNZ bank (pre-import)</x:v>
      </x:c>
      <x:c r="F175" s="9" t="str">
        <x:v>Samuel Day</x:v>
      </x:c>
      <x:c r="G175" s="11" t="n">
        <x:v>248.4</x:v>
      </x:c>
      <x:c r="H175" s="11" t="n">
        <x:v>0</x:v>
      </x:c>
      <x:c r="I175" s="9" t="str">
        <x:v>N</x:v>
      </x:c>
      <x:c r="J175" s="9" t="str">
        <x:v>Review</x:v>
      </x:c>
      <x:c r="K175" s="9" t="str">
        <x:v>Bank only</x:v>
      </x:c>
      <x:c r="L175" s="9" t="str">
        <x:v>Not clearly business or GST-bearing from the available records.</x:v>
      </x:c>
      <x:c r="M175" s="9" t="str">
        <x:v>g4ledc</x:v>
      </x:c>
    </x:row>
    <x:row r="176" ht="15" hidden="0" customHeight="1">
      <x:c r="A176" s="9" t="str">
        <x:v>Invoice basis</x:v>
      </x:c>
      <x:c r="B176" s="9" t="str">
        <x:v>1 Feb-31 Jul 2026</x:v>
      </x:c>
      <x:c r="C176" s="10" t="n">
        <x:v>46123</x:v>
      </x:c>
      <x:c r="D176" s="9" t="str">
        <x:v>Purchase</x:v>
      </x:c>
      <x:c r="E176" s="9" t="str">
        <x:v>BNZ bank (pre-import)</x:v>
      </x:c>
      <x:c r="F176" s="9" t="str">
        <x:v>MITRE 10 MEGA WANAKA · 5996 · 434667110959</x:v>
      </x:c>
      <x:c r="G176" s="11" t="n">
        <x:v>248.86</x:v>
      </x:c>
      <x:c r="H176" s="11" t="n">
        <x:v>32.46</x:v>
      </x:c>
      <x:c r="I176" s="9" t="str">
        <x:v>Y</x:v>
      </x:c>
      <x:c r="J176" s="9" t="str">
        <x:v>High</x:v>
      </x:c>
      <x:c r="K176" s="9" t="str">
        <x:v>Bank + TradePilot</x:v>
      </x:c>
      <x:c r="L176" s="9" t="str">
        <x:v>Business purchase.</x:v>
      </x:c>
      <x:c r="M176" s="9" t="str">
        <x:v>kvqp7t</x:v>
      </x:c>
    </x:row>
    <x:row r="177" ht="15" hidden="0" customHeight="1">
      <x:c r="A177" s="9" t="str">
        <x:v>Invoice basis</x:v>
      </x:c>
      <x:c r="B177" s="9" t="str">
        <x:v>1 Feb-31 Jul 2026</x:v>
      </x:c>
      <x:c r="C177" s="10" t="n">
        <x:v>46123</x:v>
      </x:c>
      <x:c r="D177" s="9" t="str">
        <x:v>Purchase</x:v>
      </x:c>
      <x:c r="E177" s="9" t="str">
        <x:v>BNZ bank (pre-import)</x:v>
      </x:c>
      <x:c r="F177" s="9" t="str">
        <x:v>NOW BAO · 5996 · 451836111557</x:v>
      </x:c>
      <x:c r="G177" s="11" t="n">
        <x:v>15.3</x:v>
      </x:c>
      <x:c r="H177" s="11" t="n">
        <x:v>0</x:v>
      </x:c>
      <x:c r="I177" s="9" t="str">
        <x:v>N</x:v>
      </x:c>
      <x:c r="J177" s="9" t="str">
        <x:v>High</x:v>
      </x:c>
      <x:c r="K177" s="9" t="str">
        <x:v>Bank description</x:v>
      </x:c>
      <x:c r="L177" s="9" t="str">
        <x:v>Personal, transfer, tax, cash withdrawal, food or entertainment; no GST claim.</x:v>
      </x:c>
      <x:c r="M177" s="9" t="str">
        <x:v>jj95zf</x:v>
      </x:c>
    </x:row>
    <x:row r="178" ht="15" hidden="0" customHeight="1">
      <x:c r="A178" s="9" t="str">
        <x:v>Invoice basis</x:v>
      </x:c>
      <x:c r="B178" s="9" t="str">
        <x:v>1 Feb-31 Jul 2026</x:v>
      </x:c>
      <x:c r="C178" s="10" t="n">
        <x:v>46123</x:v>
      </x:c>
      <x:c r="D178" s="9" t="str">
        <x:v>Purchase</x:v>
      </x:c>
      <x:c r="E178" s="9" t="str">
        <x:v>BNZ bank (pre-import)</x:v>
      </x:c>
      <x:c r="F178" s="9" t="str">
        <x:v>SPOTIFY · 5996 · 414361111505</x:v>
      </x:c>
      <x:c r="G178" s="11" t="n">
        <x:v>25.49</x:v>
      </x:c>
      <x:c r="H178" s="11" t="n">
        <x:v>0</x:v>
      </x:c>
      <x:c r="I178" s="9" t="str">
        <x:v>N</x:v>
      </x:c>
      <x:c r="J178" s="9" t="str">
        <x:v>High</x:v>
      </x:c>
      <x:c r="K178" s="9" t="str">
        <x:v>Bank description</x:v>
      </x:c>
      <x:c r="L178" s="9" t="str">
        <x:v>Personal, transfer, tax, cash withdrawal, food or entertainment; no GST claim.</x:v>
      </x:c>
      <x:c r="M178" s="9" t="str">
        <x:v>mscnb</x:v>
      </x:c>
    </x:row>
    <x:row r="179" ht="15" hidden="0" customHeight="1">
      <x:c r="A179" s="9" t="str">
        <x:v>Invoice basis</x:v>
      </x:c>
      <x:c r="B179" s="9" t="str">
        <x:v>1 Feb-31 Jul 2026</x:v>
      </x:c>
      <x:c r="C179" s="10" t="n">
        <x:v>46124</x:v>
      </x:c>
      <x:c r="D179" s="9" t="str">
        <x:v>Purchase</x:v>
      </x:c>
      <x:c r="E179" s="9" t="str">
        <x:v>BNZ bank (pre-import)</x:v>
      </x:c>
      <x:c r="F179" s="9" t="str">
        <x:v>OPENAI · 5996 · 449216121549</x:v>
      </x:c>
      <x:c r="G179" s="11" t="n">
        <x:v>40.33</x:v>
      </x:c>
      <x:c r="H179" s="11" t="n">
        <x:v>5.26</x:v>
      </x:c>
      <x:c r="I179" s="9" t="str">
        <x:v>Y</x:v>
      </x:c>
      <x:c r="J179" s="9" t="str">
        <x:v>Review</x:v>
      </x:c>
      <x:c r="K179" s="9" t="str">
        <x:v>Bank + TradePilot; check supplier invoice shows NZ GST</x:v>
      </x:c>
      <x:c r="L179" s="9" t="str">
        <x:v>Included provisionally; overseas software is claimable only if NZ GST was actually charged.</x:v>
      </x:c>
      <x:c r="M179" s="9" t="str">
        <x:v>650bki</x:v>
      </x:c>
    </x:row>
    <x:row r="180" ht="15" hidden="0" customHeight="1">
      <x:c r="A180" s="9" t="str">
        <x:v>Invoice basis</x:v>
      </x:c>
      <x:c r="B180" s="9" t="str">
        <x:v>1 Feb-31 Jul 2026</x:v>
      </x:c>
      <x:c r="C180" s="10" t="n">
        <x:v>46125</x:v>
      </x:c>
      <x:c r="D180" s="9" t="str">
        <x:v>Purchase</x:v>
      </x:c>
      <x:c r="E180" s="9" t="str">
        <x:v>BNZ bank (pre-import)</x:v>
      </x:c>
      <x:c r="F180" s="9" t="str">
        <x:v>BP CONNECT WANAKA · 5996 · 492102131357</x:v>
      </x:c>
      <x:c r="G180" s="11" t="n">
        <x:v>100.79</x:v>
      </x:c>
      <x:c r="H180" s="11" t="n">
        <x:v>13.15</x:v>
      </x:c>
      <x:c r="I180" s="9" t="str">
        <x:v>Y</x:v>
      </x:c>
      <x:c r="J180" s="9" t="str">
        <x:v>High</x:v>
      </x:c>
      <x:c r="K180" s="9" t="str">
        <x:v>Bank + TradePilot</x:v>
      </x:c>
      <x:c r="L180" s="9" t="str">
        <x:v>Business purchase.</x:v>
      </x:c>
      <x:c r="M180" s="9" t="str">
        <x:v>z51w5r</x:v>
      </x:c>
    </x:row>
    <x:row r="181" ht="15" hidden="0" customHeight="1">
      <x:c r="A181" s="9" t="str">
        <x:v>Invoice basis</x:v>
      </x:c>
      <x:c r="B181" s="9" t="str">
        <x:v>1 Feb-31 Jul 2026</x:v>
      </x:c>
      <x:c r="C181" s="10" t="n">
        <x:v>46125</x:v>
      </x:c>
      <x:c r="D181" s="9" t="str">
        <x:v>Purchase</x:v>
      </x:c>
      <x:c r="E181" s="9" t="str">
        <x:v>BNZ bank (pre-import)</x:v>
      </x:c>
      <x:c r="F181" s="9" t="str">
        <x:v>Wanaka Nlake · 5996 · 420549131012</x:v>
      </x:c>
      <x:c r="G181" s="11" t="n">
        <x:v>10</x:v>
      </x:c>
      <x:c r="H181" s="11" t="n">
        <x:v>0</x:v>
      </x:c>
      <x:c r="I181" s="9" t="str">
        <x:v>N</x:v>
      </x:c>
      <x:c r="J181" s="9" t="str">
        <x:v>Review</x:v>
      </x:c>
      <x:c r="K181" s="9" t="str">
        <x:v>Bank only</x:v>
      </x:c>
      <x:c r="L181" s="9" t="str">
        <x:v>Not clearly business or GST-bearing from the available records.</x:v>
      </x:c>
      <x:c r="M181" s="9" t="str">
        <x:v>nizvxk</x:v>
      </x:c>
    </x:row>
    <x:row r="182" ht="15" hidden="0" customHeight="1">
      <x:c r="A182" s="9" t="str">
        <x:v>Invoice basis</x:v>
      </x:c>
      <x:c r="B182" s="9" t="str">
        <x:v>1 Feb-31 Jul 2026</x:v>
      </x:c>
      <x:c r="C182" s="10" t="n">
        <x:v>46127</x:v>
      </x:c>
      <x:c r="D182" s="9" t="str">
        <x:v>Purchase</x:v>
      </x:c>
      <x:c r="E182" s="9" t="str">
        <x:v>BNZ bank (pre-import)</x:v>
      </x:c>
      <x:c r="F182" s="9" t="str">
        <x:v>ONE NZ · 5996 · 432129151028</x:v>
      </x:c>
      <x:c r="G182" s="11" t="n">
        <x:v>188.67</x:v>
      </x:c>
      <x:c r="H182" s="11" t="n">
        <x:v>24.61</x:v>
      </x:c>
      <x:c r="I182" s="9" t="str">
        <x:v>Y</x:v>
      </x:c>
      <x:c r="J182" s="9" t="str">
        <x:v>High</x:v>
      </x:c>
      <x:c r="K182" s="9" t="str">
        <x:v>Bank + TradePilot</x:v>
      </x:c>
      <x:c r="L182" s="9" t="str">
        <x:v>Business purchase.</x:v>
      </x:c>
      <x:c r="M182" s="9" t="str">
        <x:v>s6pf09</x:v>
      </x:c>
    </x:row>
    <x:row r="183" ht="15" hidden="0" customHeight="1">
      <x:c r="A183" s="9" t="str">
        <x:v>Invoice basis</x:v>
      </x:c>
      <x:c r="B183" s="9" t="str">
        <x:v>1 Feb-31 Jul 2026</x:v>
      </x:c>
      <x:c r="C183" s="10" t="n">
        <x:v>46128</x:v>
      </x:c>
      <x:c r="D183" s="9" t="str">
        <x:v>Purchase</x:v>
      </x:c>
      <x:c r="E183" s="9" t="str">
        <x:v>BNZ bank (pre-import)</x:v>
      </x:c>
      <x:c r="F183" s="9" t="str">
        <x:v>Savings · INTERNET XFR</x:v>
      </x:c>
      <x:c r="G183" s="11" t="n">
        <x:v>1000</x:v>
      </x:c>
      <x:c r="H183" s="11" t="n">
        <x:v>0</x:v>
      </x:c>
      <x:c r="I183" s="9" t="str">
        <x:v>N</x:v>
      </x:c>
      <x:c r="J183" s="9" t="str">
        <x:v>High</x:v>
      </x:c>
      <x:c r="K183" s="9" t="str">
        <x:v>Bank description</x:v>
      </x:c>
      <x:c r="L183" s="9" t="str">
        <x:v>Personal, transfer, tax, cash withdrawal, food or entertainment; no GST claim.</x:v>
      </x:c>
      <x:c r="M183" s="9" t="str">
        <x:v>ob03kc</x:v>
      </x:c>
    </x:row>
    <x:row r="184" ht="15" hidden="0" customHeight="1">
      <x:c r="A184" s="9" t="str">
        <x:v>Invoice basis</x:v>
      </x:c>
      <x:c r="B184" s="9" t="str">
        <x:v>1 Feb-31 Jul 2026</x:v>
      </x:c>
      <x:c r="C184" s="10" t="n">
        <x:v>46128</x:v>
      </x:c>
      <x:c r="D184" s="9" t="str">
        <x:v>Purchase</x:v>
      </x:c>
      <x:c r="E184" s="9" t="str">
        <x:v>BNZ bank (pre-import)</x:v>
      </x:c>
      <x:c r="F184" s="9" t="str">
        <x:v>MITRE 10 MEGA WANAKA · 5996 · 434667161256</x:v>
      </x:c>
      <x:c r="G184" s="11" t="n">
        <x:v>21.99</x:v>
      </x:c>
      <x:c r="H184" s="11" t="n">
        <x:v>2.87</x:v>
      </x:c>
      <x:c r="I184" s="9" t="str">
        <x:v>Y</x:v>
      </x:c>
      <x:c r="J184" s="9" t="str">
        <x:v>High</x:v>
      </x:c>
      <x:c r="K184" s="9" t="str">
        <x:v>Bank + TradePilot</x:v>
      </x:c>
      <x:c r="L184" s="9" t="str">
        <x:v>Business purchase.</x:v>
      </x:c>
      <x:c r="M184" s="9" t="str">
        <x:v>wyefoz</x:v>
      </x:c>
    </x:row>
    <x:row r="185" ht="15" hidden="0" customHeight="1">
      <x:c r="A185" s="9" t="str">
        <x:v>Invoice basis</x:v>
      </x:c>
      <x:c r="B185" s="9" t="str">
        <x:v>1 Feb-31 Jul 2026</x:v>
      </x:c>
      <x:c r="C185" s="10" t="n">
        <x:v>46128</x:v>
      </x:c>
      <x:c r="D185" s="9" t="str">
        <x:v>Purchase</x:v>
      </x:c>
      <x:c r="E185" s="9" t="str">
        <x:v>BNZ bank (pre-import)</x:v>
      </x:c>
      <x:c r="F185" s="9" t="str">
        <x:v>AMY BIXBY JEWELLERY · 5996 · 492102161434</x:v>
      </x:c>
      <x:c r="G185" s="11" t="n">
        <x:v>3</x:v>
      </x:c>
      <x:c r="H185" s="11" t="n">
        <x:v>0</x:v>
      </x:c>
      <x:c r="I185" s="9" t="str">
        <x:v>N</x:v>
      </x:c>
      <x:c r="J185" s="9" t="str">
        <x:v>High</x:v>
      </x:c>
      <x:c r="K185" s="9" t="str">
        <x:v>Bank description</x:v>
      </x:c>
      <x:c r="L185" s="9" t="str">
        <x:v>Personal, transfer, tax, cash withdrawal, food or entertainment; no GST claim.</x:v>
      </x:c>
      <x:c r="M185" s="9" t="str">
        <x:v>a0tq30</x:v>
      </x:c>
    </x:row>
    <x:row r="186" ht="15" hidden="0" customHeight="1">
      <x:c r="A186" s="9" t="str">
        <x:v>Invoice basis</x:v>
      </x:c>
      <x:c r="B186" s="9" t="str">
        <x:v>1 Feb-31 Jul 2026</x:v>
      </x:c>
      <x:c r="C186" s="10" t="n">
        <x:v>46129</x:v>
      </x:c>
      <x:c r="D186" s="9" t="str">
        <x:v>Purchase</x:v>
      </x:c>
      <x:c r="E186" s="9" t="str">
        <x:v>BNZ bank (pre-import)</x:v>
      </x:c>
      <x:c r="F186" s="9" t="str">
        <x:v>Bradley James Hamilt</x:v>
      </x:c>
      <x:c r="G186" s="11" t="n">
        <x:v>5000</x:v>
      </x:c>
      <x:c r="H186" s="11" t="n">
        <x:v>0</x:v>
      </x:c>
      <x:c r="I186" s="9" t="str">
        <x:v>N</x:v>
      </x:c>
      <x:c r="J186" s="9" t="str">
        <x:v>High</x:v>
      </x:c>
      <x:c r="K186" s="9" t="str">
        <x:v>Bank description</x:v>
      </x:c>
      <x:c r="L186" s="9" t="str">
        <x:v>Personal, transfer, tax, cash withdrawal, food or entertainment; no GST claim.</x:v>
      </x:c>
      <x:c r="M186" s="9" t="str">
        <x:v>71xc1j</x:v>
      </x:c>
    </x:row>
    <x:row r="187" ht="15" hidden="0" customHeight="1">
      <x:c r="A187" s="9" t="str">
        <x:v>Invoice basis</x:v>
      </x:c>
      <x:c r="B187" s="9" t="str">
        <x:v>1 Feb-31 Jul 2026</x:v>
      </x:c>
      <x:c r="C187" s="10" t="n">
        <x:v>46130</x:v>
      </x:c>
      <x:c r="D187" s="9" t="str">
        <x:v>Sale</x:v>
      </x:c>
      <x:c r="E187" s="9" t="str">
        <x:v>TradePilot invoice</x:v>
      </x:c>
      <x:c r="F187" s="9" t="str">
        <x:v>INV-J15 · deposit · Pass-2 backfill: deposit detected</x:v>
      </x:c>
      <x:c r="G187" s="11" t="n">
        <x:v>1190.25</x:v>
      </x:c>
      <x:c r="H187" s="11" t="n">
        <x:v>155.25</x:v>
      </x:c>
      <x:c r="I187" s="9" t="str">
        <x:v>Y</x:v>
      </x:c>
      <x:c r="J187" s="9" t="str">
        <x:v>Medium</x:v>
      </x:c>
      <x:c r="K187" s="9" t="str">
        <x:v>TradePilot invoice record</x:v>
      </x:c>
      <x:c r="L187" s="9" t="str">
        <x:v>Invoice record used; payment date is earlier where applicable.</x:v>
      </x:c>
      <x:c r="M187" s="9" t="str">
        <x:v>INV-J15</x:v>
      </x:c>
    </x:row>
    <x:row r="188" ht="15" hidden="0" customHeight="1">
      <x:c r="A188" s="9" t="str">
        <x:v>Invoice basis</x:v>
      </x:c>
      <x:c r="B188" s="9" t="str">
        <x:v>1 Feb-31 Jul 2026</x:v>
      </x:c>
      <x:c r="C188" s="10" t="n">
        <x:v>46131</x:v>
      </x:c>
      <x:c r="D188" s="9" t="str">
        <x:v>Purchase</x:v>
      </x:c>
      <x:c r="E188" s="9" t="str">
        <x:v>BNZ + TradePilot match</x:v>
      </x:c>
      <x:c r="F188" s="9" t="str">
        <x:v>BP CONNECT WANAKA</x:v>
      </x:c>
      <x:c r="G188" s="11" t="n">
        <x:v>101.04</x:v>
      </x:c>
      <x:c r="H188" s="11" t="n">
        <x:v>13.18</x:v>
      </x:c>
      <x:c r="I188" s="9" t="str">
        <x:v>Y</x:v>
      </x:c>
      <x:c r="J188" s="9" t="str">
        <x:v>High</x:v>
      </x:c>
      <x:c r="K188" s="9" t="str">
        <x:v>Bank payment matched to GST-coded TradePilot entry</x:v>
      </x:c>
      <x:c r="L188" s="9" t="str">
        <x:v>Matched business purchase.</x:v>
      </x:c>
      <x:c r="M188" s="9" t="str">
        <x:v>hicsvk</x:v>
      </x:c>
    </x:row>
    <x:row r="189" ht="15" hidden="0" customHeight="1">
      <x:c r="A189" s="9" t="str">
        <x:v>Invoice basis</x:v>
      </x:c>
      <x:c r="B189" s="9" t="str">
        <x:v>1 Feb-31 Jul 2026</x:v>
      </x:c>
      <x:c r="C189" s="10" t="n">
        <x:v>46133</x:v>
      </x:c>
      <x:c r="D189" s="9" t="str">
        <x:v>Purchase</x:v>
      </x:c>
      <x:c r="E189" s="9" t="str">
        <x:v>BNZ + TradePilot match</x:v>
      </x:c>
      <x:c r="F189" s="9" t="str">
        <x:v>Resene - Wanaka 087</x:v>
      </x:c>
      <x:c r="G189" s="11" t="n">
        <x:v>180.21</x:v>
      </x:c>
      <x:c r="H189" s="11" t="n">
        <x:v>23.51</x:v>
      </x:c>
      <x:c r="I189" s="9" t="str">
        <x:v>Y</x:v>
      </x:c>
      <x:c r="J189" s="9" t="str">
        <x:v>High</x:v>
      </x:c>
      <x:c r="K189" s="9" t="str">
        <x:v>Bank payment matched to GST-coded TradePilot entry</x:v>
      </x:c>
      <x:c r="L189" s="9" t="str">
        <x:v>Matched business purchase.</x:v>
      </x:c>
      <x:c r="M189" s="9" t="str">
        <x:v>sosb4d</x:v>
      </x:c>
    </x:row>
    <x:row r="190" ht="15" hidden="0" customHeight="1">
      <x:c r="A190" s="9" t="str">
        <x:v>Invoice basis</x:v>
      </x:c>
      <x:c r="B190" s="9" t="str">
        <x:v>1 Feb-31 Jul 2026</x:v>
      </x:c>
      <x:c r="C190" s="10" t="n">
        <x:v>46133</x:v>
      </x:c>
      <x:c r="D190" s="9" t="str">
        <x:v>Purchase</x:v>
      </x:c>
      <x:c r="E190" s="9" t="str">
        <x:v>BNZ + TradePilot match</x:v>
      </x:c>
      <x:c r="F190" s="9" t="str">
        <x:v>Resene - Wanaka 087</x:v>
      </x:c>
      <x:c r="G190" s="11" t="n">
        <x:v>78.09</x:v>
      </x:c>
      <x:c r="H190" s="11" t="n">
        <x:v>10.19</x:v>
      </x:c>
      <x:c r="I190" s="9" t="str">
        <x:v>Y</x:v>
      </x:c>
      <x:c r="J190" s="9" t="str">
        <x:v>High</x:v>
      </x:c>
      <x:c r="K190" s="9" t="str">
        <x:v>Bank payment matched to GST-coded TradePilot entry</x:v>
      </x:c>
      <x:c r="L190" s="9" t="str">
        <x:v>Matched business purchase.</x:v>
      </x:c>
      <x:c r="M190" s="9" t="str">
        <x:v>azaafi</x:v>
      </x:c>
    </x:row>
    <x:row r="191" ht="15" hidden="0" customHeight="1">
      <x:c r="A191" s="9" t="str">
        <x:v>Invoice basis</x:v>
      </x:c>
      <x:c r="B191" s="9" t="str">
        <x:v>1 Feb-31 Jul 2026</x:v>
      </x:c>
      <x:c r="C191" s="10" t="n">
        <x:v>46133</x:v>
      </x:c>
      <x:c r="D191" s="9" t="str">
        <x:v>Purchase</x:v>
      </x:c>
      <x:c r="E191" s="9" t="str">
        <x:v>BNZ + TradePilot match</x:v>
      </x:c>
      <x:c r="F191" s="9" t="str">
        <x:v>MITRE 10 MEGA WANAKA</x:v>
      </x:c>
      <x:c r="G191" s="11" t="n">
        <x:v>26.46</x:v>
      </x:c>
      <x:c r="H191" s="11" t="n">
        <x:v>3.45</x:v>
      </x:c>
      <x:c r="I191" s="9" t="str">
        <x:v>Y</x:v>
      </x:c>
      <x:c r="J191" s="9" t="str">
        <x:v>High</x:v>
      </x:c>
      <x:c r="K191" s="9" t="str">
        <x:v>Bank payment matched to GST-coded TradePilot entry</x:v>
      </x:c>
      <x:c r="L191" s="9" t="str">
        <x:v>Matched business purchase.</x:v>
      </x:c>
      <x:c r="M191" s="9" t="str">
        <x:v>6ekkdj</x:v>
      </x:c>
    </x:row>
    <x:row r="192" ht="15" hidden="0" customHeight="1">
      <x:c r="A192" s="9" t="str">
        <x:v>Invoice basis</x:v>
      </x:c>
      <x:c r="B192" s="9" t="str">
        <x:v>1 Feb-31 Jul 2026</x:v>
      </x:c>
      <x:c r="C192" s="10" t="n">
        <x:v>46133</x:v>
      </x:c>
      <x:c r="D192" s="9" t="str">
        <x:v>Purchase</x:v>
      </x:c>
      <x:c r="E192" s="9" t="str">
        <x:v>BNZ supplier refund</x:v>
      </x:c>
      <x:c r="F192" s="9" t="str">
        <x:v>Resene - Wanaka 087</x:v>
      </x:c>
      <x:c r="G192" s="11" t="n">
        <x:v>-78.09</x:v>
      </x:c>
      <x:c r="H192" s="11" t="n">
        <x:v>-10.19</x:v>
      </x:c>
      <x:c r="I192" s="9" t="str">
        <x:v>Y</x:v>
      </x:c>
      <x:c r="J192" s="9" t="str">
        <x:v>High</x:v>
      </x:c>
      <x:c r="K192" s="9" t="str">
        <x:v>Bank refund + TradePilot GST coding</x:v>
      </x:c>
      <x:c r="L192" s="9" t="str">
        <x:v>Supplier refund reduces input GST; it is not sales income.</x:v>
      </x:c>
      <x:c r="M192" s="9" t="str">
        <x:v>d5m42u</x:v>
      </x:c>
    </x:row>
    <x:row r="193" ht="15" hidden="0" customHeight="1">
      <x:c r="A193" s="9" t="str">
        <x:v>Invoice basis</x:v>
      </x:c>
      <x:c r="B193" s="9" t="str">
        <x:v>1 Feb-31 Jul 2026</x:v>
      </x:c>
      <x:c r="C193" s="10" t="n">
        <x:v>46135</x:v>
      </x:c>
      <x:c r="D193" s="9" t="str">
        <x:v>Purchase</x:v>
      </x:c>
      <x:c r="E193" s="9" t="str">
        <x:v>BNZ + TradePilot match</x:v>
      </x:c>
      <x:c r="F193" s="9" t="str">
        <x:v>THE WAREHOUSE 212 WA</x:v>
      </x:c>
      <x:c r="G193" s="11" t="n">
        <x:v>61.2</x:v>
      </x:c>
      <x:c r="H193" s="11" t="n">
        <x:v>7.98</x:v>
      </x:c>
      <x:c r="I193" s="9" t="str">
        <x:v>Y</x:v>
      </x:c>
      <x:c r="J193" s="9" t="str">
        <x:v>High</x:v>
      </x:c>
      <x:c r="K193" s="9" t="str">
        <x:v>Bank payment matched to GST-coded TradePilot entry</x:v>
      </x:c>
      <x:c r="L193" s="9" t="str">
        <x:v>Matched business purchase.</x:v>
      </x:c>
      <x:c r="M193" s="9" t="str">
        <x:v>sp5lu6</x:v>
      </x:c>
    </x:row>
    <x:row r="194" ht="15" hidden="0" customHeight="1">
      <x:c r="A194" s="9" t="str">
        <x:v>Invoice basis</x:v>
      </x:c>
      <x:c r="B194" s="9" t="str">
        <x:v>1 Feb-31 Jul 2026</x:v>
      </x:c>
      <x:c r="C194" s="10" t="n">
        <x:v>46137</x:v>
      </x:c>
      <x:c r="D194" s="9" t="str">
        <x:v>Purchase</x:v>
      </x:c>
      <x:c r="E194" s="9" t="str">
        <x:v>BNZ + TradePilot match</x:v>
      </x:c>
      <x:c r="F194" s="9" t="str">
        <x:v>CURSOR USAGE MID  AP</x:v>
      </x:c>
      <x:c r="G194" s="11" t="n">
        <x:v>41.25</x:v>
      </x:c>
      <x:c r="H194" s="11" t="n">
        <x:v>5.38</x:v>
      </x:c>
      <x:c r="I194" s="9" t="str">
        <x:v>Y</x:v>
      </x:c>
      <x:c r="J194" s="9" t="str">
        <x:v>High</x:v>
      </x:c>
      <x:c r="K194" s="9" t="str">
        <x:v>Bank payment matched to GST-coded TradePilot entry</x:v>
      </x:c>
      <x:c r="L194" s="9" t="str">
        <x:v>Matched business purchase.</x:v>
      </x:c>
      <x:c r="M194" s="9" t="str">
        <x:v>3tecam</x:v>
      </x:c>
    </x:row>
    <x:row r="195" ht="15" hidden="0" customHeight="1">
      <x:c r="A195" s="9" t="str">
        <x:v>Invoice basis</x:v>
      </x:c>
      <x:c r="B195" s="9" t="str">
        <x:v>1 Feb-31 Jul 2026</x:v>
      </x:c>
      <x:c r="C195" s="10" t="n">
        <x:v>46138</x:v>
      </x:c>
      <x:c r="D195" s="9" t="str">
        <x:v>Purchase</x:v>
      </x:c>
      <x:c r="E195" s="9" t="str">
        <x:v>BNZ + TradePilot match</x:v>
      </x:c>
      <x:c r="F195" s="9" t="str">
        <x:v>MITRE 10 MEGA WANAKA</x:v>
      </x:c>
      <x:c r="G195" s="11" t="n">
        <x:v>153.45</x:v>
      </x:c>
      <x:c r="H195" s="11" t="n">
        <x:v>20.02</x:v>
      </x:c>
      <x:c r="I195" s="9" t="str">
        <x:v>Y</x:v>
      </x:c>
      <x:c r="J195" s="9" t="str">
        <x:v>High</x:v>
      </x:c>
      <x:c r="K195" s="9" t="str">
        <x:v>Bank payment matched to GST-coded TradePilot entry</x:v>
      </x:c>
      <x:c r="L195" s="9" t="str">
        <x:v>Matched business purchase.</x:v>
      </x:c>
      <x:c r="M195" s="9" t="str">
        <x:v>ohhwjf</x:v>
      </x:c>
    </x:row>
    <x:row r="196" ht="15" hidden="0" customHeight="1">
      <x:c r="A196" s="9" t="str">
        <x:v>Invoice basis</x:v>
      </x:c>
      <x:c r="B196" s="9" t="str">
        <x:v>1 Feb-31 Jul 2026</x:v>
      </x:c>
      <x:c r="C196" s="10" t="n">
        <x:v>46138</x:v>
      </x:c>
      <x:c r="D196" s="9" t="str">
        <x:v>Purchase</x:v>
      </x:c>
      <x:c r="E196" s="9" t="str">
        <x:v>BNZ + TradePilot match</x:v>
      </x:c>
      <x:c r="F196" s="9" t="str">
        <x:v>BP CONNECT WANAKA</x:v>
      </x:c>
      <x:c r="G196" s="11" t="n">
        <x:v>112.06</x:v>
      </x:c>
      <x:c r="H196" s="11" t="n">
        <x:v>14.62</x:v>
      </x:c>
      <x:c r="I196" s="9" t="str">
        <x:v>Y</x:v>
      </x:c>
      <x:c r="J196" s="9" t="str">
        <x:v>High</x:v>
      </x:c>
      <x:c r="K196" s="9" t="str">
        <x:v>Bank payment matched to GST-coded TradePilot entry</x:v>
      </x:c>
      <x:c r="L196" s="9" t="str">
        <x:v>Matched business purchase.</x:v>
      </x:c>
      <x:c r="M196" s="9" t="str">
        <x:v>pb4shc</x:v>
      </x:c>
    </x:row>
    <x:row r="197" ht="15" hidden="0" customHeight="1">
      <x:c r="A197" s="9" t="str">
        <x:v>Invoice basis</x:v>
      </x:c>
      <x:c r="B197" s="9" t="str">
        <x:v>1 Feb-31 Jul 2026</x:v>
      </x:c>
      <x:c r="C197" s="10" t="n">
        <x:v>46138</x:v>
      </x:c>
      <x:c r="D197" s="9" t="str">
        <x:v>Sale</x:v>
      </x:c>
      <x:c r="E197" s="9" t="str">
        <x:v>TradePilot invoice</x:v>
      </x:c>
      <x:c r="F197" s="9" t="str">
        <x:v>INV-J16 · deposit · Pass-2 backfill: deposit detected</x:v>
      </x:c>
      <x:c r="G197" s="11" t="n">
        <x:v>5140.5</x:v>
      </x:c>
      <x:c r="H197" s="11" t="n">
        <x:v>670.5</x:v>
      </x:c>
      <x:c r="I197" s="9" t="str">
        <x:v>Y</x:v>
      </x:c>
      <x:c r="J197" s="9" t="str">
        <x:v>Medium</x:v>
      </x:c>
      <x:c r="K197" s="9" t="str">
        <x:v>TradePilot invoice record</x:v>
      </x:c>
      <x:c r="L197" s="9" t="str">
        <x:v>Invoice record used; payment date is earlier where applicable.</x:v>
      </x:c>
      <x:c r="M197" s="9" t="str">
        <x:v>INV-J16</x:v>
      </x:c>
    </x:row>
    <x:row r="198" ht="15" hidden="0" customHeight="1">
      <x:c r="A198" s="9" t="str">
        <x:v>Invoice basis</x:v>
      </x:c>
      <x:c r="B198" s="9" t="str">
        <x:v>1 Feb-31 Jul 2026</x:v>
      </x:c>
      <x:c r="C198" s="10" t="n">
        <x:v>46139</x:v>
      </x:c>
      <x:c r="D198" s="9" t="str">
        <x:v>Purchase</x:v>
      </x:c>
      <x:c r="E198" s="9" t="str">
        <x:v>BNZ + TradePilot match</x:v>
      </x:c>
      <x:c r="F198" s="9" t="str">
        <x:v>MITRE 10 MEGA WANAKA</x:v>
      </x:c>
      <x:c r="G198" s="11" t="n">
        <x:v>79.9</x:v>
      </x:c>
      <x:c r="H198" s="11" t="n">
        <x:v>10.42</x:v>
      </x:c>
      <x:c r="I198" s="9" t="str">
        <x:v>Y</x:v>
      </x:c>
      <x:c r="J198" s="9" t="str">
        <x:v>High</x:v>
      </x:c>
      <x:c r="K198" s="9" t="str">
        <x:v>Bank payment matched to GST-coded TradePilot entry</x:v>
      </x:c>
      <x:c r="L198" s="9" t="str">
        <x:v>Matched business purchase.</x:v>
      </x:c>
      <x:c r="M198" s="9" t="str">
        <x:v>bi9f0b</x:v>
      </x:c>
    </x:row>
    <x:row r="199" ht="15" hidden="0" customHeight="1">
      <x:c r="A199" s="9" t="str">
        <x:v>Invoice basis</x:v>
      </x:c>
      <x:c r="B199" s="9" t="str">
        <x:v>1 Feb-31 Jul 2026</x:v>
      </x:c>
      <x:c r="C199" s="10" t="n">
        <x:v>46141</x:v>
      </x:c>
      <x:c r="D199" s="9" t="str">
        <x:v>Sale</x:v>
      </x:c>
      <x:c r="E199" s="9" t="str">
        <x:v>TradePilot invoice</x:v>
      </x:c>
      <x:c r="F199" s="9" t="str">
        <x:v>INV-J20 · deposit · 30% deposit. Booking locked in for 13 July start.</x:v>
      </x:c>
      <x:c r="G199" s="11" t="n">
        <x:v>1190.25</x:v>
      </x:c>
      <x:c r="H199" s="11" t="n">
        <x:v>155.25</x:v>
      </x:c>
      <x:c r="I199" s="9" t="str">
        <x:v>Y</x:v>
      </x:c>
      <x:c r="J199" s="9" t="str">
        <x:v>Medium</x:v>
      </x:c>
      <x:c r="K199" s="9" t="str">
        <x:v>TradePilot invoice record</x:v>
      </x:c>
      <x:c r="L199" s="9" t="str">
        <x:v>Invoice record used; payment date is earlier where applicable.</x:v>
      </x:c>
      <x:c r="M199" s="9" t="str">
        <x:v>INV-J20</x:v>
      </x:c>
    </x:row>
    <x:row r="200" ht="15" hidden="0" customHeight="1">
      <x:c r="A200" s="9" t="str">
        <x:v>Invoice basis</x:v>
      </x:c>
      <x:c r="B200" s="9" t="str">
        <x:v>1 Feb-31 Jul 2026</x:v>
      </x:c>
      <x:c r="C200" s="10" t="n">
        <x:v>46142</x:v>
      </x:c>
      <x:c r="D200" s="9" t="str">
        <x:v>Purchase</x:v>
      </x:c>
      <x:c r="E200" s="9" t="str">
        <x:v>BNZ + TradePilot match</x:v>
      </x:c>
      <x:c r="F200" s="9" t="str">
        <x:v>CLAUDE.AI SUBSCRIPTI</x:v>
      </x:c>
      <x:c r="G200" s="11" t="n">
        <x:v>171.74</x:v>
      </x:c>
      <x:c r="H200" s="11" t="n">
        <x:v>22.4</x:v>
      </x:c>
      <x:c r="I200" s="9" t="str">
        <x:v>Y</x:v>
      </x:c>
      <x:c r="J200" s="9" t="str">
        <x:v>High</x:v>
      </x:c>
      <x:c r="K200" s="9" t="str">
        <x:v>Bank payment matched to GST-coded TradePilot entry</x:v>
      </x:c>
      <x:c r="L200" s="9" t="str">
        <x:v>Matched business purchase.</x:v>
      </x:c>
      <x:c r="M200" s="9" t="str">
        <x:v>jyo2m7</x:v>
      </x:c>
    </x:row>
    <x:row r="201" ht="15" hidden="0" customHeight="1">
      <x:c r="A201" s="9" t="str">
        <x:v>Invoice basis</x:v>
      </x:c>
      <x:c r="B201" s="9" t="str">
        <x:v>1 Feb-31 Jul 2026</x:v>
      </x:c>
      <x:c r="C201" s="10" t="n">
        <x:v>46142</x:v>
      </x:c>
      <x:c r="D201" s="9" t="str">
        <x:v>Sale</x:v>
      </x:c>
      <x:c r="E201" s="9" t="str">
        <x:v>TradePilot invoice</x:v>
      </x:c>
      <x:c r="F201" s="9" t="str">
        <x:v>INV-J12-F · final · Backfilled from existing data (balance after deposit)</x:v>
      </x:c>
      <x:c r="G201" s="11" t="n">
        <x:v>8136.5</x:v>
      </x:c>
      <x:c r="H201" s="11" t="n">
        <x:v>1061.28</x:v>
      </x:c>
      <x:c r="I201" s="9" t="str">
        <x:v>Y</x:v>
      </x:c>
      <x:c r="J201" s="9" t="str">
        <x:v>Medium</x:v>
      </x:c>
      <x:c r="K201" s="9" t="str">
        <x:v>Backfilled TradePilot invoice record</x:v>
      </x:c>
      <x:c r="L201" s="9" t="str">
        <x:v>Invoice record used; payment date is earlier where applicable.</x:v>
      </x:c>
      <x:c r="M201" s="9" t="str">
        <x:v>INV-J12-F</x:v>
      </x:c>
    </x:row>
    <x:row r="202" ht="15" hidden="0" customHeight="1">
      <x:c r="A202" s="9" t="str">
        <x:v>Invoice basis</x:v>
      </x:c>
      <x:c r="B202" s="9" t="str">
        <x:v>1 Feb-31 Jul 2026</x:v>
      </x:c>
      <x:c r="C202" s="10" t="n">
        <x:v>46142</x:v>
      </x:c>
      <x:c r="D202" s="9" t="str">
        <x:v>Sale</x:v>
      </x:c>
      <x:c r="E202" s="9" t="str">
        <x:v>TradePilot invoice</x:v>
      </x:c>
      <x:c r="F202" s="9" t="str">
        <x:v>INV-J16-F · final · Backfilled from existing data (balance after deposit). Corrected to ex-GST.</x:v>
      </x:c>
      <x:c r="G202" s="11" t="n">
        <x:v>11994.5</x:v>
      </x:c>
      <x:c r="H202" s="11" t="n">
        <x:v>1564.5</x:v>
      </x:c>
      <x:c r="I202" s="9" t="str">
        <x:v>N</x:v>
      </x:c>
      <x:c r="J202" s="9" t="str">
        <x:v>High</x:v>
      </x:c>
      <x:c r="K202" s="9" t="str">
        <x:v>Backfilled TradePilot invoice record</x:v>
      </x:c>
      <x:c r="L202" s="9" t="str">
        <x:v>Removed: Brad confirms Aubrey Road only paid the 30% deposit; the backfilled final balance is not part of this return.</x:v>
      </x:c>
      <x:c r="M202" s="9" t="str">
        <x:v>INV-J16-F</x:v>
      </x:c>
    </x:row>
    <x:row r="203" ht="15" hidden="0" customHeight="1">
      <x:c r="A203" s="9" t="str">
        <x:v>Invoice basis</x:v>
      </x:c>
      <x:c r="B203" s="9" t="str">
        <x:v>1 Feb-31 Jul 2026</x:v>
      </x:c>
      <x:c r="C203" s="10" t="n">
        <x:v>46142</x:v>
      </x:c>
      <x:c r="D203" s="9" t="str">
        <x:v>Sale</x:v>
      </x:c>
      <x:c r="E203" s="9" t="str">
        <x:v>TradePilot invoice</x:v>
      </x:c>
      <x:c r="F203" s="9" t="str">
        <x:v>INV-J19 · final · Backfilled from existing data</x:v>
      </x:c>
      <x:c r="G203" s="11" t="n">
        <x:v>4542.5</x:v>
      </x:c>
      <x:c r="H203" s="11" t="n">
        <x:v>592.5</x:v>
      </x:c>
      <x:c r="I203" s="9" t="str">
        <x:v>N</x:v>
      </x:c>
      <x:c r="J203" s="9" t="str">
        <x:v>High</x:v>
      </x:c>
      <x:c r="K203" s="9" t="str">
        <x:v>Backfilled TradePilot invoice record</x:v>
      </x:c>
      <x:c r="L203" s="9" t="str">
        <x:v>Removed from the calculation at Brad's instruction; no matching receipt is present in the supplied BNZ account.</x:v>
      </x:c>
      <x:c r="M203" s="9" t="str">
        <x:v>INV-J19</x:v>
      </x:c>
    </x:row>
    <x:row r="204" ht="15" hidden="0" customHeight="1">
      <x:c r="A204" s="9" t="str">
        <x:v>Invoice basis</x:v>
      </x:c>
      <x:c r="B204" s="9" t="str">
        <x:v>1 Feb-31 Jul 2026</x:v>
      </x:c>
      <x:c r="C204" s="10" t="n">
        <x:v>46142</x:v>
      </x:c>
      <x:c r="D204" s="9" t="str">
        <x:v>Sale</x:v>
      </x:c>
      <x:c r="E204" s="9" t="str">
        <x:v>TradePilot invoice</x:v>
      </x:c>
      <x:c r="F204" s="9" t="str">
        <x:v>INV-J17 · final · Pass-2 backfill: from quote_amount</x:v>
      </x:c>
      <x:c r="G204" s="11" t="n">
        <x:v>483</x:v>
      </x:c>
      <x:c r="H204" s="11" t="n">
        <x:v>63</x:v>
      </x:c>
      <x:c r="I204" s="9" t="str">
        <x:v>Y</x:v>
      </x:c>
      <x:c r="J204" s="9" t="str">
        <x:v>Medium</x:v>
      </x:c>
      <x:c r="K204" s="9" t="str">
        <x:v>TradePilot invoice record</x:v>
      </x:c>
      <x:c r="L204" s="9" t="str">
        <x:v>Invoice record used; payment date is earlier where applicable.</x:v>
      </x:c>
      <x:c r="M204" s="9" t="str">
        <x:v>INV-J17</x:v>
      </x:c>
    </x:row>
    <x:row r="205" ht="15" hidden="0" customHeight="1">
      <x:c r="A205" s="9" t="str">
        <x:v>Invoice basis</x:v>
      </x:c>
      <x:c r="B205" s="9" t="str">
        <x:v>1 Feb-31 Jul 2026</x:v>
      </x:c>
      <x:c r="C205" s="10" t="n">
        <x:v>46142</x:v>
      </x:c>
      <x:c r="D205" s="9" t="str">
        <x:v>Sale</x:v>
      </x:c>
      <x:c r="E205" s="9" t="str">
        <x:v>TradePilot invoice</x:v>
      </x:c>
      <x:c r="F205" s="9" t="str">
        <x:v>INV-J18 · final · Backfilled from existing data</x:v>
      </x:c>
      <x:c r="G205" s="11" t="n">
        <x:v>2942.85</x:v>
      </x:c>
      <x:c r="H205" s="11" t="n">
        <x:v>383.85</x:v>
      </x:c>
      <x:c r="I205" s="9" t="str">
        <x:v>Y</x:v>
      </x:c>
      <x:c r="J205" s="9" t="str">
        <x:v>Medium</x:v>
      </x:c>
      <x:c r="K205" s="9" t="str">
        <x:v>Backfilled TradePilot invoice record</x:v>
      </x:c>
      <x:c r="L205" s="9" t="str">
        <x:v>Invoice record used; payment date is earlier where applicable.</x:v>
      </x:c>
      <x:c r="M205" s="9" t="str">
        <x:v>INV-J18</x:v>
      </x:c>
    </x:row>
    <x:row r="206" ht="15" hidden="0" customHeight="1">
      <x:c r="A206" s="9" t="str">
        <x:v>Invoice basis</x:v>
      </x:c>
      <x:c r="B206" s="9" t="str">
        <x:v>1 Feb-31 Jul 2026</x:v>
      </x:c>
      <x:c r="C206" s="10" t="n">
        <x:v>46142</x:v>
      </x:c>
      <x:c r="D206" s="9" t="str">
        <x:v>Sale</x:v>
      </x:c>
      <x:c r="E206" s="9" t="str">
        <x:v>TradePilot invoice</x:v>
      </x:c>
      <x:c r="F206" s="9" t="str">
        <x:v>INV-J15-F · final · Final balance after deposit. Variation: one coat instead of two — original quote was for two coats but existing finish (likely Drydens product) was sound enough that a second coat wasn't needed.</x:v>
      </x:c>
      <x:c r="G206" s="11" t="n">
        <x:v>1413.35</x:v>
      </x:c>
      <x:c r="H206" s="11" t="n">
        <x:v>184.35</x:v>
      </x:c>
      <x:c r="I206" s="9" t="str">
        <x:v>Y</x:v>
      </x:c>
      <x:c r="J206" s="9" t="str">
        <x:v>Medium</x:v>
      </x:c>
      <x:c r="K206" s="9" t="str">
        <x:v>TradePilot invoice record</x:v>
      </x:c>
      <x:c r="L206" s="9" t="str">
        <x:v>Invoice record used; payment date is earlier where applicable.</x:v>
      </x:c>
      <x:c r="M206" s="9" t="str">
        <x:v>INV-J15-F</x:v>
      </x:c>
    </x:row>
    <x:row r="207" ht="15" hidden="0" customHeight="1">
      <x:c r="A207" s="9" t="str">
        <x:v>Invoice basis</x:v>
      </x:c>
      <x:c r="B207" s="9" t="str">
        <x:v>1 Feb-31 Jul 2026</x:v>
      </x:c>
      <x:c r="C207" s="10" t="n">
        <x:v>46143</x:v>
      </x:c>
      <x:c r="D207" s="9" t="str">
        <x:v>Purchase</x:v>
      </x:c>
      <x:c r="E207" s="9" t="str">
        <x:v>TradePilot unpaid supplier invoice</x:v>
      </x:c>
      <x:c r="F207" s="9" t="str">
        <x:v>One New Zealand Group Limited #660416236</x:v>
      </x:c>
      <x:c r="G207" s="11" t="n">
        <x:v>191.81</x:v>
      </x:c>
      <x:c r="H207" s="11" t="n">
        <x:v>16.46</x:v>
      </x:c>
      <x:c r="I207" s="9" t="str">
        <x:v>Y</x:v>
      </x:c>
      <x:c r="J207" s="9" t="str">
        <x:v>Medium</x:v>
      </x:c>
      <x:c r="K207" s="9" t="str">
        <x:v>Supplier invoice details stored in TradePilot</x:v>
      </x:c>
      <x:c r="L207" s="9" t="str">
        <x:v>Invoice basis permits claim before payment if taxable supply information is held.</x:v>
      </x:c>
      <x:c r="M207" s="9" t="str">
        <x:v>One New Zealand Group Limited #660416236</x:v>
      </x:c>
    </x:row>
    <x:row r="208" ht="15" hidden="0" customHeight="1">
      <x:c r="A208" s="9" t="str">
        <x:v>Invoice basis</x:v>
      </x:c>
      <x:c r="B208" s="9" t="str">
        <x:v>1 Feb-31 Jul 2026</x:v>
      </x:c>
      <x:c r="C208" s="10" t="n">
        <x:v>46143</x:v>
      </x:c>
      <x:c r="D208" s="9" t="str">
        <x:v>Sale</x:v>
      </x:c>
      <x:c r="E208" s="9" t="str">
        <x:v>TradePilot invoice</x:v>
      </x:c>
      <x:c r="F208" s="9" t="str">
        <x:v>INV-027-F · final · Final balance after deposit. Job not yet started.</x:v>
      </x:c>
      <x:c r="G208" s="11" t="n">
        <x:v>4950.75</x:v>
      </x:c>
      <x:c r="H208" s="11" t="n">
        <x:v>645.75</x:v>
      </x:c>
      <x:c r="I208" s="9" t="str">
        <x:v>Y</x:v>
      </x:c>
      <x:c r="J208" s="9" t="str">
        <x:v>Medium</x:v>
      </x:c>
      <x:c r="K208" s="9" t="str">
        <x:v>TradePilot invoice record</x:v>
      </x:c>
      <x:c r="L208" s="9" t="str">
        <x:v>Invoice record used; payment date is earlier where applicable.</x:v>
      </x:c>
      <x:c r="M208" s="9" t="str">
        <x:v>INV-027-F</x:v>
      </x:c>
    </x:row>
    <x:row r="209" ht="15" hidden="0" customHeight="1">
      <x:c r="A209" s="9" t="str">
        <x:v>Invoice basis</x:v>
      </x:c>
      <x:c r="B209" s="9" t="str">
        <x:v>1 Feb-31 Jul 2026</x:v>
      </x:c>
      <x:c r="C209" s="10" t="n">
        <x:v>46144</x:v>
      </x:c>
      <x:c r="D209" s="9" t="str">
        <x:v>Purchase</x:v>
      </x:c>
      <x:c r="E209" s="9" t="str">
        <x:v>BNZ + TradePilot match</x:v>
      </x:c>
      <x:c r="F209" s="9" t="str">
        <x:v>CURSOR  AI POWERED I</x:v>
      </x:c>
      <x:c r="G209" s="11" t="n">
        <x:v>34.81</x:v>
      </x:c>
      <x:c r="H209" s="11" t="n">
        <x:v>4.54</x:v>
      </x:c>
      <x:c r="I209" s="9" t="str">
        <x:v>Y</x:v>
      </x:c>
      <x:c r="J209" s="9" t="str">
        <x:v>High</x:v>
      </x:c>
      <x:c r="K209" s="9" t="str">
        <x:v>Bank payment matched to GST-coded TradePilot entry</x:v>
      </x:c>
      <x:c r="L209" s="9" t="str">
        <x:v>Matched business purchase.</x:v>
      </x:c>
      <x:c r="M209" s="9" t="str">
        <x:v>n2fwhk</x:v>
      </x:c>
    </x:row>
    <x:row r="210" ht="15" hidden="0" customHeight="1">
      <x:c r="A210" s="9" t="str">
        <x:v>Invoice basis</x:v>
      </x:c>
      <x:c r="B210" s="9" t="str">
        <x:v>1 Feb-31 Jul 2026</x:v>
      </x:c>
      <x:c r="C210" s="10" t="n">
        <x:v>46144</x:v>
      </x:c>
      <x:c r="D210" s="9" t="str">
        <x:v>Purchase</x:v>
      </x:c>
      <x:c r="E210" s="9" t="str">
        <x:v>BNZ + TradePilot match</x:v>
      </x:c>
      <x:c r="F210" s="9" t="str">
        <x:v>BP CONNECT WANAKA</x:v>
      </x:c>
      <x:c r="G210" s="11" t="n">
        <x:v>119.82</x:v>
      </x:c>
      <x:c r="H210" s="11" t="n">
        <x:v>15.63</x:v>
      </x:c>
      <x:c r="I210" s="9" t="str">
        <x:v>Y</x:v>
      </x:c>
      <x:c r="J210" s="9" t="str">
        <x:v>High</x:v>
      </x:c>
      <x:c r="K210" s="9" t="str">
        <x:v>Bank payment matched to GST-coded TradePilot entry</x:v>
      </x:c>
      <x:c r="L210" s="9" t="str">
        <x:v>Matched business purchase.</x:v>
      </x:c>
      <x:c r="M210" s="9" t="str">
        <x:v>514qks</x:v>
      </x:c>
    </x:row>
    <x:row r="211" ht="15" hidden="0" customHeight="1">
      <x:c r="A211" s="9" t="str">
        <x:v>Invoice basis</x:v>
      </x:c>
      <x:c r="B211" s="9" t="str">
        <x:v>1 Feb-31 Jul 2026</x:v>
      </x:c>
      <x:c r="C211" s="10" t="n">
        <x:v>46144</x:v>
      </x:c>
      <x:c r="D211" s="9" t="str">
        <x:v>Purchase</x:v>
      </x:c>
      <x:c r="E211" s="9" t="str">
        <x:v>BNZ + TradePilot match</x:v>
      </x:c>
      <x:c r="F211" s="9" t="str">
        <x:v>Google Workspace_lak</x:v>
      </x:c>
      <x:c r="G211" s="11" t="n">
        <x:v>18.11</x:v>
      </x:c>
      <x:c r="H211" s="11" t="n">
        <x:v>2.36</x:v>
      </x:c>
      <x:c r="I211" s="9" t="str">
        <x:v>Y</x:v>
      </x:c>
      <x:c r="J211" s="9" t="str">
        <x:v>High</x:v>
      </x:c>
      <x:c r="K211" s="9" t="str">
        <x:v>Bank payment matched to GST-coded TradePilot entry</x:v>
      </x:c>
      <x:c r="L211" s="9" t="str">
        <x:v>Matched business purchase.</x:v>
      </x:c>
      <x:c r="M211" s="9" t="str">
        <x:v>3yun2e</x:v>
      </x:c>
    </x:row>
    <x:row r="212" ht="15" hidden="0" customHeight="1">
      <x:c r="A212" s="9" t="str">
        <x:v>Invoice basis</x:v>
      </x:c>
      <x:c r="B212" s="9" t="str">
        <x:v>1 Feb-31 Jul 2026</x:v>
      </x:c>
      <x:c r="C212" s="10" t="n">
        <x:v>46146</x:v>
      </x:c>
      <x:c r="D212" s="9" t="str">
        <x:v>Purchase</x:v>
      </x:c>
      <x:c r="E212" s="9" t="str">
        <x:v>BNZ + TradePilot match</x:v>
      </x:c>
      <x:c r="F212" s="9" t="str">
        <x:v>785Pin* Hireworx New</x:v>
      </x:c>
      <x:c r="G212" s="11" t="n">
        <x:v>170.08</x:v>
      </x:c>
      <x:c r="H212" s="11" t="n">
        <x:v>22.18</x:v>
      </x:c>
      <x:c r="I212" s="9" t="str">
        <x:v>Y</x:v>
      </x:c>
      <x:c r="J212" s="9" t="str">
        <x:v>High</x:v>
      </x:c>
      <x:c r="K212" s="9" t="str">
        <x:v>Bank payment matched to GST-coded TradePilot entry</x:v>
      </x:c>
      <x:c r="L212" s="9" t="str">
        <x:v>Matched business purchase.</x:v>
      </x:c>
      <x:c r="M212" s="9" t="str">
        <x:v>tkfdzz</x:v>
      </x:c>
    </x:row>
    <x:row r="213" ht="15" hidden="0" customHeight="1">
      <x:c r="A213" s="9" t="str">
        <x:v>Invoice basis</x:v>
      </x:c>
      <x:c r="B213" s="9" t="str">
        <x:v>1 Feb-31 Jul 2026</x:v>
      </x:c>
      <x:c r="C213" s="10" t="n">
        <x:v>46146</x:v>
      </x:c>
      <x:c r="D213" s="9" t="str">
        <x:v>Purchase</x:v>
      </x:c>
      <x:c r="E213" s="9" t="str">
        <x:v>BNZ + TradePilot match</x:v>
      </x:c>
      <x:c r="F213" s="9" t="str">
        <x:v>CURSOR USAGE  APR</x:v>
      </x:c>
      <x:c r="G213" s="11" t="n">
        <x:v>28.58</x:v>
      </x:c>
      <x:c r="H213" s="11" t="n">
        <x:v>3.73</x:v>
      </x:c>
      <x:c r="I213" s="9" t="str">
        <x:v>Y</x:v>
      </x:c>
      <x:c r="J213" s="9" t="str">
        <x:v>High</x:v>
      </x:c>
      <x:c r="K213" s="9" t="str">
        <x:v>Bank payment matched to GST-coded TradePilot entry</x:v>
      </x:c>
      <x:c r="L213" s="9" t="str">
        <x:v>Matched business purchase.</x:v>
      </x:c>
      <x:c r="M213" s="9" t="str">
        <x:v>csyvsv</x:v>
      </x:c>
    </x:row>
    <x:row r="214" ht="15" hidden="0" customHeight="1">
      <x:c r="A214" s="9" t="str">
        <x:v>Invoice basis</x:v>
      </x:c>
      <x:c r="B214" s="9" t="str">
        <x:v>1 Feb-31 Jul 2026</x:v>
      </x:c>
      <x:c r="C214" s="10" t="n">
        <x:v>46146</x:v>
      </x:c>
      <x:c r="D214" s="9" t="str">
        <x:v>Purchase</x:v>
      </x:c>
      <x:c r="E214" s="9" t="str">
        <x:v>TradePilot unpaid supplier invoice</x:v>
      </x:c>
      <x:c r="F214" s="9" t="str">
        <x:v>Dulux New Zealand #908872288</x:v>
      </x:c>
      <x:c r="G214" s="11" t="n">
        <x:v>32.11</x:v>
      </x:c>
      <x:c r="H214" s="11" t="n">
        <x:v>4.19</x:v>
      </x:c>
      <x:c r="I214" s="9" t="str">
        <x:v>Y</x:v>
      </x:c>
      <x:c r="J214" s="9" t="str">
        <x:v>Medium</x:v>
      </x:c>
      <x:c r="K214" s="9" t="str">
        <x:v>Supplier invoice details stored in TradePilot</x:v>
      </x:c>
      <x:c r="L214" s="9" t="str">
        <x:v>Invoice basis permits claim before payment if taxable supply information is held.</x:v>
      </x:c>
      <x:c r="M214" s="9" t="str">
        <x:v>Dulux New Zealand #908872288</x:v>
      </x:c>
    </x:row>
    <x:row r="215" ht="15" hidden="0" customHeight="1">
      <x:c r="A215" s="9" t="str">
        <x:v>Invoice basis</x:v>
      </x:c>
      <x:c r="B215" s="9" t="str">
        <x:v>1 Feb-31 Jul 2026</x:v>
      </x:c>
      <x:c r="C215" s="10" t="n">
        <x:v>46149</x:v>
      </x:c>
      <x:c r="D215" s="9" t="str">
        <x:v>Purchase</x:v>
      </x:c>
      <x:c r="E215" s="9" t="str">
        <x:v>BNZ + TradePilot match</x:v>
      </x:c>
      <x:c r="F215" s="9" t="str">
        <x:v>OPENAI *CHATGPT SUBS</x:v>
      </x:c>
      <x:c r="G215" s="11" t="n">
        <x:v>40.08</x:v>
      </x:c>
      <x:c r="H215" s="11" t="n">
        <x:v>5.23</x:v>
      </x:c>
      <x:c r="I215" s="9" t="str">
        <x:v>Y</x:v>
      </x:c>
      <x:c r="J215" s="9" t="str">
        <x:v>High</x:v>
      </x:c>
      <x:c r="K215" s="9" t="str">
        <x:v>Bank payment matched to GST-coded TradePilot entry</x:v>
      </x:c>
      <x:c r="L215" s="9" t="str">
        <x:v>Matched business purchase.</x:v>
      </x:c>
      <x:c r="M215" s="9" t="str">
        <x:v>63syn2</x:v>
      </x:c>
    </x:row>
    <x:row r="216" ht="15" hidden="0" customHeight="1">
      <x:c r="A216" s="9" t="str">
        <x:v>Invoice basis</x:v>
      </x:c>
      <x:c r="B216" s="9" t="str">
        <x:v>1 Feb-31 Jul 2026</x:v>
      </x:c>
      <x:c r="C216" s="10" t="n">
        <x:v>46149</x:v>
      </x:c>
      <x:c r="D216" s="9" t="str">
        <x:v>Purchase</x:v>
      </x:c>
      <x:c r="E216" s="9" t="str">
        <x:v>BNZ + TradePilot match</x:v>
      </x:c>
      <x:c r="F216" s="9" t="str">
        <x:v>BP CONNECT WANAKA</x:v>
      </x:c>
      <x:c r="G216" s="11" t="n">
        <x:v>100.85</x:v>
      </x:c>
      <x:c r="H216" s="11" t="n">
        <x:v>13.15</x:v>
      </x:c>
      <x:c r="I216" s="9" t="str">
        <x:v>Y</x:v>
      </x:c>
      <x:c r="J216" s="9" t="str">
        <x:v>High</x:v>
      </x:c>
      <x:c r="K216" s="9" t="str">
        <x:v>Bank payment matched to GST-coded TradePilot entry</x:v>
      </x:c>
      <x:c r="L216" s="9" t="str">
        <x:v>Matched business purchase.</x:v>
      </x:c>
      <x:c r="M216" s="9" t="str">
        <x:v>v7i9ov</x:v>
      </x:c>
    </x:row>
    <x:row r="217" ht="15" hidden="0" customHeight="1">
      <x:c r="A217" s="9" t="str">
        <x:v>Invoice basis</x:v>
      </x:c>
      <x:c r="B217" s="9" t="str">
        <x:v>1 Feb-31 Jul 2026</x:v>
      </x:c>
      <x:c r="C217" s="10" t="n">
        <x:v>46150</x:v>
      </x:c>
      <x:c r="D217" s="9" t="str">
        <x:v>Purchase</x:v>
      </x:c>
      <x:c r="E217" s="9" t="str">
        <x:v>BNZ + TradePilot match</x:v>
      </x:c>
      <x:c r="F217" s="9" t="str">
        <x:v>Resene - Wanaka 087</x:v>
      </x:c>
      <x:c r="G217" s="11" t="n">
        <x:v>208.85</x:v>
      </x:c>
      <x:c r="H217" s="11" t="n">
        <x:v>27.24</x:v>
      </x:c>
      <x:c r="I217" s="9" t="str">
        <x:v>Y</x:v>
      </x:c>
      <x:c r="J217" s="9" t="str">
        <x:v>High</x:v>
      </x:c>
      <x:c r="K217" s="9" t="str">
        <x:v>Bank payment matched to GST-coded TradePilot entry</x:v>
      </x:c>
      <x:c r="L217" s="9" t="str">
        <x:v>Matched business purchase.</x:v>
      </x:c>
      <x:c r="M217" s="9" t="str">
        <x:v>f7r1is</x:v>
      </x:c>
    </x:row>
    <x:row r="218" ht="15" hidden="0" customHeight="1">
      <x:c r="A218" s="9" t="str">
        <x:v>Invoice basis</x:v>
      </x:c>
      <x:c r="B218" s="9" t="str">
        <x:v>1 Feb-31 Jul 2026</x:v>
      </x:c>
      <x:c r="C218" s="10" t="n">
        <x:v>46151</x:v>
      </x:c>
      <x:c r="D218" s="9" t="str">
        <x:v>Purchase</x:v>
      </x:c>
      <x:c r="E218" s="9" t="str">
        <x:v>BNZ + TradePilot match</x:v>
      </x:c>
      <x:c r="F218" s="9" t="str">
        <x:v>MIN BUS INNOVATION &amp;</x:v>
      </x:c>
      <x:c r="G218" s="11" t="n">
        <x:v>11.5</x:v>
      </x:c>
      <x:c r="H218" s="11" t="n">
        <x:v>1.5</x:v>
      </x:c>
      <x:c r="I218" s="9" t="str">
        <x:v>Y</x:v>
      </x:c>
      <x:c r="J218" s="9" t="str">
        <x:v>High</x:v>
      </x:c>
      <x:c r="K218" s="9" t="str">
        <x:v>Bank payment matched to GST-coded TradePilot entry</x:v>
      </x:c>
      <x:c r="L218" s="9" t="str">
        <x:v>Matched business purchase.</x:v>
      </x:c>
      <x:c r="M218" s="9" t="str">
        <x:v>xpv568</x:v>
      </x:c>
    </x:row>
    <x:row r="219" ht="15" hidden="0" customHeight="1">
      <x:c r="A219" s="9" t="str">
        <x:v>Invoice basis</x:v>
      </x:c>
      <x:c r="B219" s="9" t="str">
        <x:v>1 Feb-31 Jul 2026</x:v>
      </x:c>
      <x:c r="C219" s="10" t="n">
        <x:v>46151</x:v>
      </x:c>
      <x:c r="D219" s="9" t="str">
        <x:v>Sale</x:v>
      </x:c>
      <x:c r="E219" s="9" t="str">
        <x:v>TradePilot invoice</x:v>
      </x:c>
      <x:c r="F219" s="9" t="str">
        <x:v>INV-6B8404 · final</x:v>
      </x:c>
      <x:c r="G219" s="11" t="n">
        <x:v>460</x:v>
      </x:c>
      <x:c r="H219" s="11" t="n">
        <x:v>60</x:v>
      </x:c>
      <x:c r="I219" s="9" t="str">
        <x:v>N</x:v>
      </x:c>
      <x:c r="J219" s="9" t="str">
        <x:v>High</x:v>
      </x:c>
      <x:c r="K219" s="9" t="str">
        <x:v>TradePilot invoice record</x:v>
      </x:c>
      <x:c r="L219" s="9" t="str">
        <x:v>Removed from the calculation at Brad's instruction; no matching receipt is present in the supplied BNZ account.</x:v>
      </x:c>
      <x:c r="M219" s="9" t="str">
        <x:v>INV-6B8404</x:v>
      </x:c>
    </x:row>
    <x:row r="220" ht="15" hidden="0" customHeight="1">
      <x:c r="A220" s="9" t="str">
        <x:v>Invoice basis</x:v>
      </x:c>
      <x:c r="B220" s="9" t="str">
        <x:v>1 Feb-31 Jul 2026</x:v>
      </x:c>
      <x:c r="C220" s="10" t="n">
        <x:v>46152</x:v>
      </x:c>
      <x:c r="D220" s="9" t="str">
        <x:v>Purchase</x:v>
      </x:c>
      <x:c r="E220" s="9" t="str">
        <x:v>BNZ + TradePilot match</x:v>
      </x:c>
      <x:c r="F220" s="9" t="str">
        <x:v>THE MEAT PREACHERS</x:v>
      </x:c>
      <x:c r="G220" s="11" t="n">
        <x:v>62.22</x:v>
      </x:c>
      <x:c r="H220" s="11" t="n">
        <x:v>8.12</x:v>
      </x:c>
      <x:c r="I220" s="9" t="str">
        <x:v>Y</x:v>
      </x:c>
      <x:c r="J220" s="9" t="str">
        <x:v>High</x:v>
      </x:c>
      <x:c r="K220" s="9" t="str">
        <x:v>Bank payment matched to GST-coded TradePilot entry</x:v>
      </x:c>
      <x:c r="L220" s="9" t="str">
        <x:v>Matched business purchase.</x:v>
      </x:c>
      <x:c r="M220" s="9" t="str">
        <x:v>h3chg6</x:v>
      </x:c>
    </x:row>
    <x:row r="221" ht="15" hidden="0" customHeight="1">
      <x:c r="A221" s="9" t="str">
        <x:v>Invoice basis</x:v>
      </x:c>
      <x:c r="B221" s="9" t="str">
        <x:v>1 Feb-31 Jul 2026</x:v>
      </x:c>
      <x:c r="C221" s="10" t="n">
        <x:v>46152</x:v>
      </x:c>
      <x:c r="D221" s="9" t="str">
        <x:v>Purchase</x:v>
      </x:c>
      <x:c r="E221" s="9" t="str">
        <x:v>BNZ + TradePilot match</x:v>
      </x:c>
      <x:c r="F221" s="9" t="str">
        <x:v>BP CONNECT WANAKA</x:v>
      </x:c>
      <x:c r="G221" s="11" t="n">
        <x:v>100.29</x:v>
      </x:c>
      <x:c r="H221" s="11" t="n">
        <x:v>13.08</x:v>
      </x:c>
      <x:c r="I221" s="9" t="str">
        <x:v>Y</x:v>
      </x:c>
      <x:c r="J221" s="9" t="str">
        <x:v>High</x:v>
      </x:c>
      <x:c r="K221" s="9" t="str">
        <x:v>Bank payment matched to GST-coded TradePilot entry</x:v>
      </x:c>
      <x:c r="L221" s="9" t="str">
        <x:v>Matched business purchase.</x:v>
      </x:c>
      <x:c r="M221" s="9" t="str">
        <x:v>8t56yq</x:v>
      </x:c>
    </x:row>
    <x:row r="222" ht="15" hidden="0" customHeight="1">
      <x:c r="A222" s="9" t="str">
        <x:v>Invoice basis</x:v>
      </x:c>
      <x:c r="B222" s="9" t="str">
        <x:v>1 Feb-31 Jul 2026</x:v>
      </x:c>
      <x:c r="C222" s="10" t="n">
        <x:v>46154</x:v>
      </x:c>
      <x:c r="D222" s="9" t="str">
        <x:v>Purchase</x:v>
      </x:c>
      <x:c r="E222" s="9" t="str">
        <x:v>TradePilot unpaid supplier invoice</x:v>
      </x:c>
      <x:c r="F222" s="9" t="str">
        <x:v>Dulux New Zealand #909019353</x:v>
      </x:c>
      <x:c r="G222" s="11" t="n">
        <x:v>109.64</x:v>
      </x:c>
      <x:c r="H222" s="11" t="n">
        <x:v>14.3</x:v>
      </x:c>
      <x:c r="I222" s="9" t="str">
        <x:v>Y</x:v>
      </x:c>
      <x:c r="J222" s="9" t="str">
        <x:v>Medium</x:v>
      </x:c>
      <x:c r="K222" s="9" t="str">
        <x:v>Supplier invoice details stored in TradePilot</x:v>
      </x:c>
      <x:c r="L222" s="9" t="str">
        <x:v>Invoice basis permits claim before payment if taxable supply information is held.</x:v>
      </x:c>
      <x:c r="M222" s="9" t="str">
        <x:v>Dulux New Zealand #909019353</x:v>
      </x:c>
    </x:row>
    <x:row r="223" ht="15" hidden="0" customHeight="1">
      <x:c r="A223" s="9" t="str">
        <x:v>Invoice basis</x:v>
      </x:c>
      <x:c r="B223" s="9" t="str">
        <x:v>1 Feb-31 Jul 2026</x:v>
      </x:c>
      <x:c r="C223" s="10" t="n">
        <x:v>46155</x:v>
      </x:c>
      <x:c r="D223" s="9" t="str">
        <x:v>Purchase</x:v>
      </x:c>
      <x:c r="E223" s="9" t="str">
        <x:v>TradePilot unpaid supplier invoice</x:v>
      </x:c>
      <x:c r="F223" s="9" t="str">
        <x:v>Resene Paints Ltd #424640171</x:v>
      </x:c>
      <x:c r="G223" s="11" t="n">
        <x:v>208.96</x:v>
      </x:c>
      <x:c r="H223" s="11" t="n">
        <x:v>27.26</x:v>
      </x:c>
      <x:c r="I223" s="9" t="str">
        <x:v>Y</x:v>
      </x:c>
      <x:c r="J223" s="9" t="str">
        <x:v>Medium</x:v>
      </x:c>
      <x:c r="K223" s="9" t="str">
        <x:v>Supplier invoice details stored in TradePilot</x:v>
      </x:c>
      <x:c r="L223" s="9" t="str">
        <x:v>Invoice basis permits claim before payment if taxable supply information is held.</x:v>
      </x:c>
      <x:c r="M223" s="9" t="str">
        <x:v>Resene Paints Ltd #424640171</x:v>
      </x:c>
    </x:row>
    <x:row r="224" ht="15" hidden="0" customHeight="1">
      <x:c r="A224" s="9" t="str">
        <x:v>Invoice basis</x:v>
      </x:c>
      <x:c r="B224" s="9" t="str">
        <x:v>1 Feb-31 Jul 2026</x:v>
      </x:c>
      <x:c r="C224" s="10" t="n">
        <x:v>46155</x:v>
      </x:c>
      <x:c r="D224" s="9" t="str">
        <x:v>Purchase</x:v>
      </x:c>
      <x:c r="E224" s="9" t="str">
        <x:v>TradePilot unpaid supplier invoice</x:v>
      </x:c>
      <x:c r="F224" s="9" t="str">
        <x:v>Resene Paints Ltd #424640175</x:v>
      </x:c>
      <x:c r="G224" s="11" t="n">
        <x:v>59.8</x:v>
      </x:c>
      <x:c r="H224" s="11" t="n">
        <x:v>7.8</x:v>
      </x:c>
      <x:c r="I224" s="9" t="str">
        <x:v>Y</x:v>
      </x:c>
      <x:c r="J224" s="9" t="str">
        <x:v>Medium</x:v>
      </x:c>
      <x:c r="K224" s="9" t="str">
        <x:v>Supplier invoice details stored in TradePilot</x:v>
      </x:c>
      <x:c r="L224" s="9" t="str">
        <x:v>Invoice basis permits claim before payment if taxable supply information is held.</x:v>
      </x:c>
      <x:c r="M224" s="9" t="str">
        <x:v>Resene Paints Ltd #424640175</x:v>
      </x:c>
    </x:row>
    <x:row r="225" ht="15" hidden="0" customHeight="1">
      <x:c r="A225" s="9" t="str">
        <x:v>Invoice basis</x:v>
      </x:c>
      <x:c r="B225" s="9" t="str">
        <x:v>1 Feb-31 Jul 2026</x:v>
      </x:c>
      <x:c r="C225" s="10" t="n">
        <x:v>46156</x:v>
      </x:c>
      <x:c r="D225" s="9" t="str">
        <x:v>Purchase</x:v>
      </x:c>
      <x:c r="E225" s="9" t="str">
        <x:v>BNZ + TradePilot match</x:v>
      </x:c>
      <x:c r="F225" s="9" t="str">
        <x:v>ANTHROPIC</x:v>
      </x:c>
      <x:c r="G225" s="11" t="n">
        <x:v>9.94</x:v>
      </x:c>
      <x:c r="H225" s="11" t="n">
        <x:v>1.3</x:v>
      </x:c>
      <x:c r="I225" s="9" t="str">
        <x:v>Y</x:v>
      </x:c>
      <x:c r="J225" s="9" t="str">
        <x:v>High</x:v>
      </x:c>
      <x:c r="K225" s="9" t="str">
        <x:v>Bank payment matched to GST-coded TradePilot entry</x:v>
      </x:c>
      <x:c r="L225" s="9" t="str">
        <x:v>Matched business purchase.</x:v>
      </x:c>
      <x:c r="M225" s="9" t="str">
        <x:v>zgc4tj</x:v>
      </x:c>
    </x:row>
    <x:row r="226" ht="15" hidden="0" customHeight="1">
      <x:c r="A226" s="9" t="str">
        <x:v>Invoice basis</x:v>
      </x:c>
      <x:c r="B226" s="9" t="str">
        <x:v>1 Feb-31 Jul 2026</x:v>
      </x:c>
      <x:c r="C226" s="10" t="n">
        <x:v>46157</x:v>
      </x:c>
      <x:c r="D226" s="9" t="str">
        <x:v>Purchase</x:v>
      </x:c>
      <x:c r="E226" s="9" t="str">
        <x:v>BNZ + TradePilot match</x:v>
      </x:c>
      <x:c r="F226" s="9" t="str">
        <x:v>b.social</x:v>
      </x:c>
      <x:c r="G226" s="11" t="n">
        <x:v>46.76</x:v>
      </x:c>
      <x:c r="H226" s="11" t="n">
        <x:v>6.1</x:v>
      </x:c>
      <x:c r="I226" s="9" t="str">
        <x:v>Y</x:v>
      </x:c>
      <x:c r="J226" s="9" t="str">
        <x:v>High</x:v>
      </x:c>
      <x:c r="K226" s="9" t="str">
        <x:v>Bank payment matched to GST-coded TradePilot entry</x:v>
      </x:c>
      <x:c r="L226" s="9" t="str">
        <x:v>Matched business purchase.</x:v>
      </x:c>
      <x:c r="M226" s="9" t="str">
        <x:v>1wwunh</x:v>
      </x:c>
    </x:row>
    <x:row r="227" ht="15" hidden="0" customHeight="1">
      <x:c r="A227" s="9" t="str">
        <x:v>Invoice basis</x:v>
      </x:c>
      <x:c r="B227" s="9" t="str">
        <x:v>1 Feb-31 Jul 2026</x:v>
      </x:c>
      <x:c r="C227" s="10" t="n">
        <x:v>46157</x:v>
      </x:c>
      <x:c r="D227" s="9" t="str">
        <x:v>Purchase</x:v>
      </x:c>
      <x:c r="E227" s="9" t="str">
        <x:v>BNZ + TradePilot match</x:v>
      </x:c>
      <x:c r="F227" s="9" t="str">
        <x:v>b.social</x:v>
      </x:c>
      <x:c r="G227" s="11" t="n">
        <x:v>10.17</x:v>
      </x:c>
      <x:c r="H227" s="11" t="n">
        <x:v>1.33</x:v>
      </x:c>
      <x:c r="I227" s="9" t="str">
        <x:v>Y</x:v>
      </x:c>
      <x:c r="J227" s="9" t="str">
        <x:v>High</x:v>
      </x:c>
      <x:c r="K227" s="9" t="str">
        <x:v>Bank payment matched to GST-coded TradePilot entry</x:v>
      </x:c>
      <x:c r="L227" s="9" t="str">
        <x:v>Matched business purchase.</x:v>
      </x:c>
      <x:c r="M227" s="9" t="str">
        <x:v>x9cb62</x:v>
      </x:c>
    </x:row>
    <x:row r="228" ht="15" hidden="0" customHeight="1">
      <x:c r="A228" s="9" t="str">
        <x:v>Invoice basis</x:v>
      </x:c>
      <x:c r="B228" s="9" t="str">
        <x:v>1 Feb-31 Jul 2026</x:v>
      </x:c>
      <x:c r="C228" s="10" t="n">
        <x:v>46157</x:v>
      </x:c>
      <x:c r="D228" s="9" t="str">
        <x:v>Purchase</x:v>
      </x:c>
      <x:c r="E228" s="9" t="str">
        <x:v>BNZ + TradePilot match</x:v>
      </x:c>
      <x:c r="F228" s="9" t="str">
        <x:v>Wanaka Auto Repairs</x:v>
      </x:c>
      <x:c r="G228" s="11" t="n">
        <x:v>301.97</x:v>
      </x:c>
      <x:c r="H228" s="11" t="n">
        <x:v>39.39</x:v>
      </x:c>
      <x:c r="I228" s="9" t="str">
        <x:v>Y</x:v>
      </x:c>
      <x:c r="J228" s="9" t="str">
        <x:v>High</x:v>
      </x:c>
      <x:c r="K228" s="9" t="str">
        <x:v>Bank payment matched to GST-coded TradePilot entry</x:v>
      </x:c>
      <x:c r="L228" s="9" t="str">
        <x:v>Matched business purchase.</x:v>
      </x:c>
      <x:c r="M228" s="9" t="str">
        <x:v>6fw7qq</x:v>
      </x:c>
    </x:row>
    <x:row r="229" ht="15" hidden="0" customHeight="1">
      <x:c r="A229" s="9" t="str">
        <x:v>Invoice basis</x:v>
      </x:c>
      <x:c r="B229" s="9" t="str">
        <x:v>1 Feb-31 Jul 2026</x:v>
      </x:c>
      <x:c r="C229" s="10" t="n">
        <x:v>46158</x:v>
      </x:c>
      <x:c r="D229" s="9" t="str">
        <x:v>Purchase</x:v>
      </x:c>
      <x:c r="E229" s="9" t="str">
        <x:v>BNZ + TradePilot match</x:v>
      </x:c>
      <x:c r="F229" s="9" t="str">
        <x:v>MITRE 10 MEGA WANAKA</x:v>
      </x:c>
      <x:c r="G229" s="11" t="n">
        <x:v>119.35</x:v>
      </x:c>
      <x:c r="H229" s="11" t="n">
        <x:v>15.57</x:v>
      </x:c>
      <x:c r="I229" s="9" t="str">
        <x:v>Y</x:v>
      </x:c>
      <x:c r="J229" s="9" t="str">
        <x:v>High</x:v>
      </x:c>
      <x:c r="K229" s="9" t="str">
        <x:v>Bank payment matched to GST-coded TradePilot entry</x:v>
      </x:c>
      <x:c r="L229" s="9" t="str">
        <x:v>Matched business purchase.</x:v>
      </x:c>
      <x:c r="M229" s="9" t="str">
        <x:v>f61sjn</x:v>
      </x:c>
    </x:row>
    <x:row r="230" ht="15" hidden="0" customHeight="1">
      <x:c r="A230" s="9" t="str">
        <x:v>Invoice basis</x:v>
      </x:c>
      <x:c r="B230" s="9" t="str">
        <x:v>1 Feb-31 Jul 2026</x:v>
      </x:c>
      <x:c r="C230" s="10" t="n">
        <x:v>46158</x:v>
      </x:c>
      <x:c r="D230" s="9" t="str">
        <x:v>Purchase</x:v>
      </x:c>
      <x:c r="E230" s="9" t="str">
        <x:v>BNZ + TradePilot match</x:v>
      </x:c>
      <x:c r="F230" s="9" t="str">
        <x:v>ONE NZ</x:v>
      </x:c>
      <x:c r="G230" s="11" t="n">
        <x:v>193.73</x:v>
      </x:c>
      <x:c r="H230" s="11" t="n">
        <x:v>25.27</x:v>
      </x:c>
      <x:c r="I230" s="9" t="str">
        <x:v>Y</x:v>
      </x:c>
      <x:c r="J230" s="9" t="str">
        <x:v>High</x:v>
      </x:c>
      <x:c r="K230" s="9" t="str">
        <x:v>Bank payment matched to GST-coded TradePilot entry</x:v>
      </x:c>
      <x:c r="L230" s="9" t="str">
        <x:v>Matched business purchase.</x:v>
      </x:c>
      <x:c r="M230" s="9" t="str">
        <x:v>49kaan</x:v>
      </x:c>
    </x:row>
    <x:row r="231" ht="15" hidden="0" customHeight="1">
      <x:c r="A231" s="9" t="str">
        <x:v>Invoice basis</x:v>
      </x:c>
      <x:c r="B231" s="9" t="str">
        <x:v>1 Feb-31 Jul 2026</x:v>
      </x:c>
      <x:c r="C231" s="10" t="n">
        <x:v>46160</x:v>
      </x:c>
      <x:c r="D231" s="9" t="str">
        <x:v>Purchase</x:v>
      </x:c>
      <x:c r="E231" s="9" t="str">
        <x:v>BNZ + TradePilot match</x:v>
      </x:c>
      <x:c r="F231" s="9" t="str">
        <x:v>WWW.TRADEMAX.CO.NZ</x:v>
      </x:c>
      <x:c r="G231" s="11" t="n">
        <x:v>475.51</x:v>
      </x:c>
      <x:c r="H231" s="11" t="n">
        <x:v>62.02</x:v>
      </x:c>
      <x:c r="I231" s="9" t="str">
        <x:v>Y</x:v>
      </x:c>
      <x:c r="J231" s="9" t="str">
        <x:v>High</x:v>
      </x:c>
      <x:c r="K231" s="9" t="str">
        <x:v>Bank payment matched to GST-coded TradePilot entry</x:v>
      </x:c>
      <x:c r="L231" s="9" t="str">
        <x:v>Split allocation consolidated to one bank payment.</x:v>
      </x:c>
      <x:c r="M231" s="9" t="str">
        <x:v>5q47b8</x:v>
      </x:c>
    </x:row>
    <x:row r="232" ht="15" hidden="0" customHeight="1">
      <x:c r="A232" s="9" t="str">
        <x:v>Invoice basis</x:v>
      </x:c>
      <x:c r="B232" s="9" t="str">
        <x:v>1 Feb-31 Jul 2026</x:v>
      </x:c>
      <x:c r="C232" s="10" t="n">
        <x:v>46160</x:v>
      </x:c>
      <x:c r="D232" s="9" t="str">
        <x:v>Purchase</x:v>
      </x:c>
      <x:c r="E232" s="9" t="str">
        <x:v>BNZ + TradePilot match</x:v>
      </x:c>
      <x:c r="F232" s="9" t="str">
        <x:v>THE WAREHOUSE 212 WA</x:v>
      </x:c>
      <x:c r="G232" s="11" t="n">
        <x:v>191.99</x:v>
      </x:c>
      <x:c r="H232" s="11" t="n">
        <x:v>25.04</x:v>
      </x:c>
      <x:c r="I232" s="9" t="str">
        <x:v>Y</x:v>
      </x:c>
      <x:c r="J232" s="9" t="str">
        <x:v>High</x:v>
      </x:c>
      <x:c r="K232" s="9" t="str">
        <x:v>Bank payment matched to GST-coded TradePilot entry</x:v>
      </x:c>
      <x:c r="L232" s="9" t="str">
        <x:v>Matched business purchase.</x:v>
      </x:c>
      <x:c r="M232" s="9" t="str">
        <x:v>og6sbm</x:v>
      </x:c>
    </x:row>
    <x:row r="233" ht="15" hidden="0" customHeight="1">
      <x:c r="A233" s="9" t="str">
        <x:v>Invoice basis</x:v>
      </x:c>
      <x:c r="B233" s="9" t="str">
        <x:v>1 Feb-31 Jul 2026</x:v>
      </x:c>
      <x:c r="C233" s="10" t="n">
        <x:v>46160</x:v>
      </x:c>
      <x:c r="D233" s="9" t="str">
        <x:v>Purchase</x:v>
      </x:c>
      <x:c r="E233" s="9" t="str">
        <x:v>BNZ + TradePilot match</x:v>
      </x:c>
      <x:c r="F233" s="9" t="str">
        <x:v>Dulux</x:v>
      </x:c>
      <x:c r="G233" s="11" t="n">
        <x:v>365.26</x:v>
      </x:c>
      <x:c r="H233" s="11" t="n">
        <x:v>47.64</x:v>
      </x:c>
      <x:c r="I233" s="9" t="str">
        <x:v>Y</x:v>
      </x:c>
      <x:c r="J233" s="9" t="str">
        <x:v>High</x:v>
      </x:c>
      <x:c r="K233" s="9" t="str">
        <x:v>Bank payment matched to GST-coded TradePilot entry</x:v>
      </x:c>
      <x:c r="L233" s="9" t="str">
        <x:v>Split allocation consolidated to one bank payment.</x:v>
      </x:c>
      <x:c r="M233" s="9" t="str">
        <x:v>uvsuuy</x:v>
      </x:c>
    </x:row>
    <x:row r="234" ht="15" hidden="0" customHeight="1">
      <x:c r="A234" s="9" t="str">
        <x:v>Invoice basis</x:v>
      </x:c>
      <x:c r="B234" s="9" t="str">
        <x:v>1 Feb-31 Jul 2026</x:v>
      </x:c>
      <x:c r="C234" s="10" t="n">
        <x:v>46160</x:v>
      </x:c>
      <x:c r="D234" s="9" t="str">
        <x:v>Purchase</x:v>
      </x:c>
      <x:c r="E234" s="9" t="str">
        <x:v>BNZ + TradePilot match</x:v>
      </x:c>
      <x:c r="F234" s="9" t="str">
        <x:v>RS TRADE CENTRE</x:v>
      </x:c>
      <x:c r="G234" s="11" t="n">
        <x:v>116.2</x:v>
      </x:c>
      <x:c r="H234" s="11" t="n">
        <x:v>15.16</x:v>
      </x:c>
      <x:c r="I234" s="9" t="str">
        <x:v>Y</x:v>
      </x:c>
      <x:c r="J234" s="9" t="str">
        <x:v>High</x:v>
      </x:c>
      <x:c r="K234" s="9" t="str">
        <x:v>Bank payment matched to GST-coded TradePilot entry</x:v>
      </x:c>
      <x:c r="L234" s="9" t="str">
        <x:v>Matched business purchase.</x:v>
      </x:c>
      <x:c r="M234" s="9" t="str">
        <x:v>ul5jku</x:v>
      </x:c>
    </x:row>
    <x:row r="235" ht="15" hidden="0" customHeight="1">
      <x:c r="A235" s="9" t="str">
        <x:v>Invoice basis</x:v>
      </x:c>
      <x:c r="B235" s="9" t="str">
        <x:v>1 Feb-31 Jul 2026</x:v>
      </x:c>
      <x:c r="C235" s="10" t="n">
        <x:v>46160</x:v>
      </x:c>
      <x:c r="D235" s="9" t="str">
        <x:v>Purchase</x:v>
      </x:c>
      <x:c r="E235" s="9" t="str">
        <x:v>TradePilot unpaid supplier invoice</x:v>
      </x:c>
      <x:c r="F235" s="9" t="str">
        <x:v>Dulux #0909118279</x:v>
      </x:c>
      <x:c r="G235" s="11" t="n">
        <x:v>39.28</x:v>
      </x:c>
      <x:c r="H235" s="11" t="n">
        <x:v>5.12</x:v>
      </x:c>
      <x:c r="I235" s="9" t="str">
        <x:v>Y</x:v>
      </x:c>
      <x:c r="J235" s="9" t="str">
        <x:v>Medium</x:v>
      </x:c>
      <x:c r="K235" s="9" t="str">
        <x:v>Supplier invoice details stored in TradePilot</x:v>
      </x:c>
      <x:c r="L235" s="9" t="str">
        <x:v>Invoice basis permits claim before payment if taxable supply information is held.</x:v>
      </x:c>
      <x:c r="M235" s="9" t="str">
        <x:v>Dulux #0909118279</x:v>
      </x:c>
    </x:row>
    <x:row r="236" ht="15" hidden="0" customHeight="1">
      <x:c r="A236" s="9" t="str">
        <x:v>Invoice basis</x:v>
      </x:c>
      <x:c r="B236" s="9" t="str">
        <x:v>1 Feb-31 Jul 2026</x:v>
      </x:c>
      <x:c r="C236" s="10" t="n">
        <x:v>46160</x:v>
      </x:c>
      <x:c r="D236" s="9" t="str">
        <x:v>Purchase</x:v>
      </x:c>
      <x:c r="E236" s="9" t="str">
        <x:v>TradePilot unpaid supplier invoice</x:v>
      </x:c>
      <x:c r="F236" s="9" t="str">
        <x:v>Dulux #0909118279</x:v>
      </x:c>
      <x:c r="G236" s="11" t="n">
        <x:v>22.76</x:v>
      </x:c>
      <x:c r="H236" s="11" t="n">
        <x:v>2.97</x:v>
      </x:c>
      <x:c r="I236" s="9" t="str">
        <x:v>Y</x:v>
      </x:c>
      <x:c r="J236" s="9" t="str">
        <x:v>Medium</x:v>
      </x:c>
      <x:c r="K236" s="9" t="str">
        <x:v>Supplier invoice details stored in TradePilot</x:v>
      </x:c>
      <x:c r="L236" s="9" t="str">
        <x:v>Invoice basis permits claim before payment if taxable supply information is held.</x:v>
      </x:c>
      <x:c r="M236" s="9" t="str">
        <x:v>Dulux #0909118279</x:v>
      </x:c>
    </x:row>
    <x:row r="237" ht="15" hidden="0" customHeight="1">
      <x:c r="A237" s="9" t="str">
        <x:v>Invoice basis</x:v>
      </x:c>
      <x:c r="B237" s="9" t="str">
        <x:v>1 Feb-31 Jul 2026</x:v>
      </x:c>
      <x:c r="C237" s="10" t="n">
        <x:v>46160</x:v>
      </x:c>
      <x:c r="D237" s="9" t="str">
        <x:v>Purchase</x:v>
      </x:c>
      <x:c r="E237" s="9" t="str">
        <x:v>TradePilot unpaid supplier invoice</x:v>
      </x:c>
      <x:c r="F237" s="9" t="str">
        <x:v>Dulux New Zealand #909118555</x:v>
      </x:c>
      <x:c r="G237" s="11" t="n">
        <x:v>49.31</x:v>
      </x:c>
      <x:c r="H237" s="11" t="n">
        <x:v>6.43</x:v>
      </x:c>
      <x:c r="I237" s="9" t="str">
        <x:v>Y</x:v>
      </x:c>
      <x:c r="J237" s="9" t="str">
        <x:v>Medium</x:v>
      </x:c>
      <x:c r="K237" s="9" t="str">
        <x:v>Supplier invoice details stored in TradePilot</x:v>
      </x:c>
      <x:c r="L237" s="9" t="str">
        <x:v>Invoice basis permits claim before payment if taxable supply information is held.</x:v>
      </x:c>
      <x:c r="M237" s="9" t="str">
        <x:v>Dulux New Zealand #909118555</x:v>
      </x:c>
    </x:row>
    <x:row r="238" ht="15" hidden="0" customHeight="1">
      <x:c r="A238" s="9" t="str">
        <x:v>Invoice basis</x:v>
      </x:c>
      <x:c r="B238" s="9" t="str">
        <x:v>1 Feb-31 Jul 2026</x:v>
      </x:c>
      <x:c r="C238" s="10" t="n">
        <x:v>46160</x:v>
      </x:c>
      <x:c r="D238" s="9" t="str">
        <x:v>Purchase</x:v>
      </x:c>
      <x:c r="E238" s="9" t="str">
        <x:v>TradePilot unpaid supplier invoice</x:v>
      </x:c>
      <x:c r="F238" s="9" t="str">
        <x:v>Dulux New Zealand (Guthrie Bowron Wanaka) #909118279</x:v>
      </x:c>
      <x:c r="G238" s="11" t="n">
        <x:v>22.75</x:v>
      </x:c>
      <x:c r="H238" s="11" t="n">
        <x:v>2.97</x:v>
      </x:c>
      <x:c r="I238" s="9" t="str">
        <x:v>Y</x:v>
      </x:c>
      <x:c r="J238" s="9" t="str">
        <x:v>Medium</x:v>
      </x:c>
      <x:c r="K238" s="9" t="str">
        <x:v>Supplier invoice details stored in TradePilot</x:v>
      </x:c>
      <x:c r="L238" s="9" t="str">
        <x:v>Invoice basis permits claim before payment if taxable supply information is held.</x:v>
      </x:c>
      <x:c r="M238" s="9" t="str">
        <x:v>Dulux New Zealand (Guthrie Bowron Wanaka) #909118279</x:v>
      </x:c>
    </x:row>
    <x:row r="239" ht="15" hidden="0" customHeight="1">
      <x:c r="A239" s="9" t="str">
        <x:v>Invoice basis</x:v>
      </x:c>
      <x:c r="B239" s="9" t="str">
        <x:v>1 Feb-31 Jul 2026</x:v>
      </x:c>
      <x:c r="C239" s="10" t="n">
        <x:v>46160</x:v>
      </x:c>
      <x:c r="D239" s="9" t="str">
        <x:v>Purchase</x:v>
      </x:c>
      <x:c r="E239" s="9" t="str">
        <x:v>TradePilot unpaid supplier invoice</x:v>
      </x:c>
      <x:c r="F239" s="9" t="str">
        <x:v>Dulux New Zealand #909125389</x:v>
      </x:c>
      <x:c r="G239" s="11" t="n">
        <x:v>18.39</x:v>
      </x:c>
      <x:c r="H239" s="11" t="n">
        <x:v>2.4</x:v>
      </x:c>
      <x:c r="I239" s="9" t="str">
        <x:v>Y</x:v>
      </x:c>
      <x:c r="J239" s="9" t="str">
        <x:v>Medium</x:v>
      </x:c>
      <x:c r="K239" s="9" t="str">
        <x:v>Supplier invoice details stored in TradePilot</x:v>
      </x:c>
      <x:c r="L239" s="9" t="str">
        <x:v>Invoice basis permits claim before payment if taxable supply information is held.</x:v>
      </x:c>
      <x:c r="M239" s="9" t="str">
        <x:v>Dulux New Zealand #909125389</x:v>
      </x:c>
    </x:row>
    <x:row r="240" ht="15" hidden="0" customHeight="1">
      <x:c r="A240" s="9" t="str">
        <x:v>Invoice basis</x:v>
      </x:c>
      <x:c r="B240" s="9" t="str">
        <x:v>1 Feb-31 Jul 2026</x:v>
      </x:c>
      <x:c r="C240" s="10" t="n">
        <x:v>46160</x:v>
      </x:c>
      <x:c r="D240" s="9" t="str">
        <x:v>Purchase</x:v>
      </x:c>
      <x:c r="E240" s="9" t="str">
        <x:v>TradePilot unpaid supplier invoice</x:v>
      </x:c>
      <x:c r="F240" s="9" t="str">
        <x:v>Dulux New Zealand #909125287</x:v>
      </x:c>
      <x:c r="G240" s="11" t="n">
        <x:v>100.51</x:v>
      </x:c>
      <x:c r="H240" s="11" t="n">
        <x:v>13.11</x:v>
      </x:c>
      <x:c r="I240" s="9" t="str">
        <x:v>Y</x:v>
      </x:c>
      <x:c r="J240" s="9" t="str">
        <x:v>Medium</x:v>
      </x:c>
      <x:c r="K240" s="9" t="str">
        <x:v>Supplier invoice details stored in TradePilot</x:v>
      </x:c>
      <x:c r="L240" s="9" t="str">
        <x:v>Invoice basis permits claim before payment if taxable supply information is held.</x:v>
      </x:c>
      <x:c r="M240" s="9" t="str">
        <x:v>Dulux New Zealand #909125287</x:v>
      </x:c>
    </x:row>
    <x:row r="241" ht="15" hidden="0" customHeight="1">
      <x:c r="A241" s="9" t="str">
        <x:v>Invoice basis</x:v>
      </x:c>
      <x:c r="B241" s="9" t="str">
        <x:v>1 Feb-31 Jul 2026</x:v>
      </x:c>
      <x:c r="C241" s="10" t="n">
        <x:v>46160</x:v>
      </x:c>
      <x:c r="D241" s="9" t="str">
        <x:v>Purchase</x:v>
      </x:c>
      <x:c r="E241" s="9" t="str">
        <x:v>TradePilot unpaid supplier invoice</x:v>
      </x:c>
      <x:c r="F241" s="9" t="str">
        <x:v>Guthrie Bowron Wanaka #909118566</x:v>
      </x:c>
      <x:c r="G241" s="11" t="n">
        <x:v>59.61</x:v>
      </x:c>
      <x:c r="H241" s="11" t="n">
        <x:v>7.77</x:v>
      </x:c>
      <x:c r="I241" s="9" t="str">
        <x:v>Y</x:v>
      </x:c>
      <x:c r="J241" s="9" t="str">
        <x:v>Medium</x:v>
      </x:c>
      <x:c r="K241" s="9" t="str">
        <x:v>Supplier invoice details stored in TradePilot</x:v>
      </x:c>
      <x:c r="L241" s="9" t="str">
        <x:v>Invoice basis permits claim before payment if taxable supply information is held.</x:v>
      </x:c>
      <x:c r="M241" s="9" t="str">
        <x:v>Guthrie Bowron Wanaka #909118566</x:v>
      </x:c>
    </x:row>
    <x:row r="242" ht="15" hidden="0" customHeight="1">
      <x:c r="A242" s="9" t="str">
        <x:v>Invoice basis</x:v>
      </x:c>
      <x:c r="B242" s="9" t="str">
        <x:v>1 Feb-31 Jul 2026</x:v>
      </x:c>
      <x:c r="C242" s="10" t="n">
        <x:v>46160</x:v>
      </x:c>
      <x:c r="D242" s="9" t="str">
        <x:v>Purchase</x:v>
      </x:c>
      <x:c r="E242" s="9" t="str">
        <x:v>TradePilot unpaid supplier invoice</x:v>
      </x:c>
      <x:c r="F242" s="9" t="str">
        <x:v>Dulux New Zealand (Guthrie Bowron Wanaka) #909118279</x:v>
      </x:c>
      <x:c r="G242" s="11" t="n">
        <x:v>39.29</x:v>
      </x:c>
      <x:c r="H242" s="11" t="n">
        <x:v>5.13</x:v>
      </x:c>
      <x:c r="I242" s="9" t="str">
        <x:v>Y</x:v>
      </x:c>
      <x:c r="J242" s="9" t="str">
        <x:v>Medium</x:v>
      </x:c>
      <x:c r="K242" s="9" t="str">
        <x:v>Supplier invoice details stored in TradePilot</x:v>
      </x:c>
      <x:c r="L242" s="9" t="str">
        <x:v>Invoice basis permits claim before payment if taxable supply information is held.</x:v>
      </x:c>
      <x:c r="M242" s="9" t="str">
        <x:v>Dulux New Zealand (Guthrie Bowron Wanaka) #909118279</x:v>
      </x:c>
    </x:row>
    <x:row r="243" ht="15" hidden="0" customHeight="1">
      <x:c r="A243" s="9" t="str">
        <x:v>Invoice basis</x:v>
      </x:c>
      <x:c r="B243" s="9" t="str">
        <x:v>1 Feb-31 Jul 2026</x:v>
      </x:c>
      <x:c r="C243" s="10" t="n">
        <x:v>46162</x:v>
      </x:c>
      <x:c r="D243" s="9" t="str">
        <x:v>Purchase</x:v>
      </x:c>
      <x:c r="E243" s="9" t="str">
        <x:v>BNZ + TradePilot match</x:v>
      </x:c>
      <x:c r="F243" s="9" t="str">
        <x:v>MITRE 10 MEGA WANAKA</x:v>
      </x:c>
      <x:c r="G243" s="11" t="n">
        <x:v>106.2</x:v>
      </x:c>
      <x:c r="H243" s="11" t="n">
        <x:v>13.85</x:v>
      </x:c>
      <x:c r="I243" s="9" t="str">
        <x:v>Y</x:v>
      </x:c>
      <x:c r="J243" s="9" t="str">
        <x:v>High</x:v>
      </x:c>
      <x:c r="K243" s="9" t="str">
        <x:v>Bank payment matched to GST-coded TradePilot entry</x:v>
      </x:c>
      <x:c r="L243" s="9" t="str">
        <x:v>Matched business purchase.</x:v>
      </x:c>
      <x:c r="M243" s="9" t="str">
        <x:v>493qoi</x:v>
      </x:c>
    </x:row>
    <x:row r="244" ht="15" hidden="0" customHeight="1">
      <x:c r="A244" s="9" t="str">
        <x:v>Invoice basis</x:v>
      </x:c>
      <x:c r="B244" s="9" t="str">
        <x:v>1 Feb-31 Jul 2026</x:v>
      </x:c>
      <x:c r="C244" s="10" t="n">
        <x:v>46162</x:v>
      </x:c>
      <x:c r="D244" s="9" t="str">
        <x:v>Purchase</x:v>
      </x:c>
      <x:c r="E244" s="9" t="str">
        <x:v>BNZ + TradePilot match</x:v>
      </x:c>
      <x:c r="F244" s="9" t="str">
        <x:v>BP CONNECT WANAKA</x:v>
      </x:c>
      <x:c r="G244" s="11" t="n">
        <x:v>100.97</x:v>
      </x:c>
      <x:c r="H244" s="11" t="n">
        <x:v>13.17</x:v>
      </x:c>
      <x:c r="I244" s="9" t="str">
        <x:v>Y</x:v>
      </x:c>
      <x:c r="J244" s="9" t="str">
        <x:v>High</x:v>
      </x:c>
      <x:c r="K244" s="9" t="str">
        <x:v>Bank payment matched to GST-coded TradePilot entry</x:v>
      </x:c>
      <x:c r="L244" s="9" t="str">
        <x:v>Matched business purchase.</x:v>
      </x:c>
      <x:c r="M244" s="9" t="str">
        <x:v>phdtec</x:v>
      </x:c>
    </x:row>
    <x:row r="245" ht="15" hidden="0" customHeight="1">
      <x:c r="A245" s="9" t="str">
        <x:v>Invoice basis</x:v>
      </x:c>
      <x:c r="B245" s="9" t="str">
        <x:v>1 Feb-31 Jul 2026</x:v>
      </x:c>
      <x:c r="C245" s="10" t="n">
        <x:v>46162</x:v>
      </x:c>
      <x:c r="D245" s="9" t="str">
        <x:v>Purchase</x:v>
      </x:c>
      <x:c r="E245" s="9" t="str">
        <x:v>BNZ + TradePilot match</x:v>
      </x:c>
      <x:c r="F245" s="9" t="str">
        <x:v>PUKKA LIMITED</x:v>
      </x:c>
      <x:c r="G245" s="11" t="n">
        <x:v>510.26</x:v>
      </x:c>
      <x:c r="H245" s="11" t="n">
        <x:v>66.56</x:v>
      </x:c>
      <x:c r="I245" s="9" t="str">
        <x:v>Y</x:v>
      </x:c>
      <x:c r="J245" s="9" t="str">
        <x:v>High</x:v>
      </x:c>
      <x:c r="K245" s="9" t="str">
        <x:v>Bank payment matched to GST-coded TradePilot entry</x:v>
      </x:c>
      <x:c r="L245" s="9" t="str">
        <x:v>Matched business purchase.</x:v>
      </x:c>
      <x:c r="M245" s="9" t="str">
        <x:v>p2otx9</x:v>
      </x:c>
    </x:row>
    <x:row r="246" ht="15" hidden="0" customHeight="1">
      <x:c r="A246" s="9" t="str">
        <x:v>Invoice basis</x:v>
      </x:c>
      <x:c r="B246" s="9" t="str">
        <x:v>1 Feb-31 Jul 2026</x:v>
      </x:c>
      <x:c r="C246" s="10" t="n">
        <x:v>46164</x:v>
      </x:c>
      <x:c r="D246" s="9" t="str">
        <x:v>Purchase</x:v>
      </x:c>
      <x:c r="E246" s="9" t="str">
        <x:v>TradePilot unpaid supplier invoice</x:v>
      </x:c>
      <x:c r="F246" s="9" t="str">
        <x:v>Dulux New Zealand #909215128</x:v>
      </x:c>
      <x:c r="G246" s="11" t="n">
        <x:v>126.33</x:v>
      </x:c>
      <x:c r="H246" s="11" t="n">
        <x:v>16.48</x:v>
      </x:c>
      <x:c r="I246" s="9" t="str">
        <x:v>Y</x:v>
      </x:c>
      <x:c r="J246" s="9" t="str">
        <x:v>Medium</x:v>
      </x:c>
      <x:c r="K246" s="9" t="str">
        <x:v>Supplier invoice details stored in TradePilot</x:v>
      </x:c>
      <x:c r="L246" s="9" t="str">
        <x:v>Invoice basis permits claim before payment if taxable supply information is held.</x:v>
      </x:c>
      <x:c r="M246" s="9" t="str">
        <x:v>Dulux New Zealand #909215128</x:v>
      </x:c>
    </x:row>
    <x:row r="247" ht="15" hidden="0" customHeight="1">
      <x:c r="A247" s="9" t="str">
        <x:v>Invoice basis</x:v>
      </x:c>
      <x:c r="B247" s="9" t="str">
        <x:v>1 Feb-31 Jul 2026</x:v>
      </x:c>
      <x:c r="C247" s="10" t="n">
        <x:v>46164</x:v>
      </x:c>
      <x:c r="D247" s="9" t="str">
        <x:v>Purchase</x:v>
      </x:c>
      <x:c r="E247" s="9" t="str">
        <x:v>TradePilot unpaid supplier invoice</x:v>
      </x:c>
      <x:c r="F247" s="9" t="str">
        <x:v>Dulux New Zealand (Guthrie Bowron Wanaka) #909209638</x:v>
      </x:c>
      <x:c r="G247" s="11" t="n">
        <x:v>602.99</x:v>
      </x:c>
      <x:c r="H247" s="11" t="n">
        <x:v>78.66</x:v>
      </x:c>
      <x:c r="I247" s="9" t="str">
        <x:v>Y</x:v>
      </x:c>
      <x:c r="J247" s="9" t="str">
        <x:v>Medium</x:v>
      </x:c>
      <x:c r="K247" s="9" t="str">
        <x:v>Supplier invoice details stored in TradePilot</x:v>
      </x:c>
      <x:c r="L247" s="9" t="str">
        <x:v>Invoice basis permits claim before payment if taxable supply information is held.</x:v>
      </x:c>
      <x:c r="M247" s="9" t="str">
        <x:v>Dulux New Zealand (Guthrie Bowron Wanaka) #909209638</x:v>
      </x:c>
    </x:row>
    <x:row r="248" ht="15" hidden="0" customHeight="1">
      <x:c r="A248" s="9" t="str">
        <x:v>Invoice basis</x:v>
      </x:c>
      <x:c r="B248" s="9" t="str">
        <x:v>1 Feb-31 Jul 2026</x:v>
      </x:c>
      <x:c r="C248" s="10" t="n">
        <x:v>46167</x:v>
      </x:c>
      <x:c r="D248" s="9" t="str">
        <x:v>Purchase</x:v>
      </x:c>
      <x:c r="E248" s="9" t="str">
        <x:v>BNZ + TradePilot match</x:v>
      </x:c>
      <x:c r="F248" s="9" t="str">
        <x:v>CYAN LION</x:v>
      </x:c>
      <x:c r="G248" s="11" t="n">
        <x:v>115</x:v>
      </x:c>
      <x:c r="H248" s="11" t="n">
        <x:v>15</x:v>
      </x:c>
      <x:c r="I248" s="9" t="str">
        <x:v>Y</x:v>
      </x:c>
      <x:c r="J248" s="9" t="str">
        <x:v>High</x:v>
      </x:c>
      <x:c r="K248" s="9" t="str">
        <x:v>Bank payment matched to GST-coded TradePilot entry</x:v>
      </x:c>
      <x:c r="L248" s="9" t="str">
        <x:v>Matched business purchase.</x:v>
      </x:c>
      <x:c r="M248" s="9" t="str">
        <x:v>bjx03j</x:v>
      </x:c>
    </x:row>
    <x:row r="249" ht="15" hidden="0" customHeight="1">
      <x:c r="A249" s="9" t="str">
        <x:v>Invoice basis</x:v>
      </x:c>
      <x:c r="B249" s="9" t="str">
        <x:v>1 Feb-31 Jul 2026</x:v>
      </x:c>
      <x:c r="C249" s="10" t="n">
        <x:v>46168</x:v>
      </x:c>
      <x:c r="D249" s="9" t="str">
        <x:v>Sale</x:v>
      </x:c>
      <x:c r="E249" s="9" t="str">
        <x:v>TradePilot invoice</x:v>
      </x:c>
      <x:c r="F249" s="9" t="str">
        <x:v>INV-F8A12C · deposit</x:v>
      </x:c>
      <x:c r="G249" s="11" t="n">
        <x:v>1794</x:v>
      </x:c>
      <x:c r="H249" s="11" t="n">
        <x:v>234</x:v>
      </x:c>
      <x:c r="I249" s="9" t="str">
        <x:v>Y</x:v>
      </x:c>
      <x:c r="J249" s="9" t="str">
        <x:v>Medium</x:v>
      </x:c>
      <x:c r="K249" s="9" t="str">
        <x:v>TradePilot invoice record</x:v>
      </x:c>
      <x:c r="L249" s="9" t="str">
        <x:v>Invoice record used; payment date is earlier where applicable.</x:v>
      </x:c>
      <x:c r="M249" s="9" t="str">
        <x:v>INV-F8A12C</x:v>
      </x:c>
    </x:row>
    <x:row r="250" ht="15" hidden="0" customHeight="1">
      <x:c r="A250" s="9" t="str">
        <x:v>Invoice basis</x:v>
      </x:c>
      <x:c r="B250" s="9" t="str">
        <x:v>1 Feb-31 Jul 2026</x:v>
      </x:c>
      <x:c r="C250" s="10" t="n">
        <x:v>46170</x:v>
      </x:c>
      <x:c r="D250" s="9" t="str">
        <x:v>Purchase</x:v>
      </x:c>
      <x:c r="E250" s="9" t="str">
        <x:v>TradePilot unpaid supplier invoice</x:v>
      </x:c>
      <x:c r="F250" s="9" t="str">
        <x:v>Dulux New Zealand #0909307380</x:v>
      </x:c>
      <x:c r="G250" s="11" t="n">
        <x:v>157.31</x:v>
      </x:c>
      <x:c r="H250" s="11" t="n">
        <x:v>20.52</x:v>
      </x:c>
      <x:c r="I250" s="9" t="str">
        <x:v>Y</x:v>
      </x:c>
      <x:c r="J250" s="9" t="str">
        <x:v>Medium</x:v>
      </x:c>
      <x:c r="K250" s="9" t="str">
        <x:v>Supplier invoice details stored in TradePilot</x:v>
      </x:c>
      <x:c r="L250" s="9" t="str">
        <x:v>Invoice basis permits claim before payment if taxable supply information is held.</x:v>
      </x:c>
      <x:c r="M250" s="9" t="str">
        <x:v>Dulux New Zealand #0909307380</x:v>
      </x:c>
    </x:row>
    <x:row r="251" ht="15" hidden="0" customHeight="1">
      <x:c r="A251" s="9" t="str">
        <x:v>Invoice basis</x:v>
      </x:c>
      <x:c r="B251" s="9" t="str">
        <x:v>1 Feb-31 Jul 2026</x:v>
      </x:c>
      <x:c r="C251" s="10" t="n">
        <x:v>46170</x:v>
      </x:c>
      <x:c r="D251" s="9" t="str">
        <x:v>Purchase</x:v>
      </x:c>
      <x:c r="E251" s="9" t="str">
        <x:v>TradePilot unpaid supplier invoice</x:v>
      </x:c>
      <x:c r="F251" s="9" t="str">
        <x:v>Dulux New Zealand #0909307380</x:v>
      </x:c>
      <x:c r="G251" s="11" t="n">
        <x:v>102.15</x:v>
      </x:c>
      <x:c r="H251" s="11" t="n">
        <x:v>13.32</x:v>
      </x:c>
      <x:c r="I251" s="9" t="str">
        <x:v>Y</x:v>
      </x:c>
      <x:c r="J251" s="9" t="str">
        <x:v>Medium</x:v>
      </x:c>
      <x:c r="K251" s="9" t="str">
        <x:v>Supplier invoice details stored in TradePilot</x:v>
      </x:c>
      <x:c r="L251" s="9" t="str">
        <x:v>Invoice basis permits claim before payment if taxable supply information is held.</x:v>
      </x:c>
      <x:c r="M251" s="9" t="str">
        <x:v>Dulux New Zealand #0909307380</x:v>
      </x:c>
    </x:row>
    <x:row r="252" ht="15" hidden="0" customHeight="1">
      <x:c r="A252" s="9" t="str">
        <x:v>Invoice basis</x:v>
      </x:c>
      <x:c r="B252" s="9" t="str">
        <x:v>1 Feb-31 Jul 2026</x:v>
      </x:c>
      <x:c r="C252" s="10" t="n">
        <x:v>46171</x:v>
      </x:c>
      <x:c r="D252" s="9" t="str">
        <x:v>Purchase</x:v>
      </x:c>
      <x:c r="E252" s="9" t="str">
        <x:v>BNZ + TradePilot match</x:v>
      </x:c>
      <x:c r="F252" s="9" t="str">
        <x:v>MITRE 10 CROMWELL</x:v>
      </x:c>
      <x:c r="G252" s="11" t="n">
        <x:v>238.93</x:v>
      </x:c>
      <x:c r="H252" s="11" t="n">
        <x:v>31.16</x:v>
      </x:c>
      <x:c r="I252" s="9" t="str">
        <x:v>Y</x:v>
      </x:c>
      <x:c r="J252" s="9" t="str">
        <x:v>High</x:v>
      </x:c>
      <x:c r="K252" s="9" t="str">
        <x:v>Bank payment matched to GST-coded TradePilot entry</x:v>
      </x:c>
      <x:c r="L252" s="9" t="str">
        <x:v>Matched business purchase.</x:v>
      </x:c>
      <x:c r="M252" s="9" t="str">
        <x:v>tdw2e8</x:v>
      </x:c>
    </x:row>
    <x:row r="253" ht="15" hidden="0" customHeight="1">
      <x:c r="A253" s="9" t="str">
        <x:v>Invoice basis</x:v>
      </x:c>
      <x:c r="B253" s="9" t="str">
        <x:v>1 Feb-31 Jul 2026</x:v>
      </x:c>
      <x:c r="C253" s="10" t="n">
        <x:v>46171</x:v>
      </x:c>
      <x:c r="D253" s="9" t="str">
        <x:v>Purchase</x:v>
      </x:c>
      <x:c r="E253" s="9" t="str">
        <x:v>TradePilot unpaid supplier invoice</x:v>
      </x:c>
      <x:c r="F253" s="9" t="str">
        <x:v>Dulux New Zealand #0909327913</x:v>
      </x:c>
      <x:c r="G253" s="11" t="n">
        <x:v>28.62</x:v>
      </x:c>
      <x:c r="H253" s="11" t="n">
        <x:v>3.74</x:v>
      </x:c>
      <x:c r="I253" s="9" t="str">
        <x:v>Y</x:v>
      </x:c>
      <x:c r="J253" s="9" t="str">
        <x:v>Medium</x:v>
      </x:c>
      <x:c r="K253" s="9" t="str">
        <x:v>Supplier invoice details stored in TradePilot</x:v>
      </x:c>
      <x:c r="L253" s="9" t="str">
        <x:v>Invoice basis permits claim before payment if taxable supply information is held.</x:v>
      </x:c>
      <x:c r="M253" s="9" t="str">
        <x:v>Dulux New Zealand #0909327913</x:v>
      </x:c>
    </x:row>
    <x:row r="254" ht="15" hidden="0" customHeight="1">
      <x:c r="A254" s="9" t="str">
        <x:v>Invoice basis</x:v>
      </x:c>
      <x:c r="B254" s="9" t="str">
        <x:v>1 Feb-31 Jul 2026</x:v>
      </x:c>
      <x:c r="C254" s="10" t="n">
        <x:v>46172</x:v>
      </x:c>
      <x:c r="D254" s="9" t="str">
        <x:v>Purchase</x:v>
      </x:c>
      <x:c r="E254" s="9" t="str">
        <x:v>BNZ + TradePilot match</x:v>
      </x:c>
      <x:c r="F254" s="9" t="str">
        <x:v>MITRE 10 MEGA WANAKA</x:v>
      </x:c>
      <x:c r="G254" s="11" t="n">
        <x:v>29.17</x:v>
      </x:c>
      <x:c r="H254" s="11" t="n">
        <x:v>3.8</x:v>
      </x:c>
      <x:c r="I254" s="9" t="str">
        <x:v>Y</x:v>
      </x:c>
      <x:c r="J254" s="9" t="str">
        <x:v>High</x:v>
      </x:c>
      <x:c r="K254" s="9" t="str">
        <x:v>Bank payment matched to GST-coded TradePilot entry</x:v>
      </x:c>
      <x:c r="L254" s="9" t="str">
        <x:v>Matched business purchase.</x:v>
      </x:c>
      <x:c r="M254" s="9" t="str">
        <x:v>p2io4z</x:v>
      </x:c>
    </x:row>
    <x:row r="255" ht="15" hidden="0" customHeight="1">
      <x:c r="A255" s="9" t="str">
        <x:v>Invoice basis</x:v>
      </x:c>
      <x:c r="B255" s="9" t="str">
        <x:v>1 Feb-31 Jul 2026</x:v>
      </x:c>
      <x:c r="C255" s="10" t="n">
        <x:v>46172</x:v>
      </x:c>
      <x:c r="D255" s="9" t="str">
        <x:v>Purchase</x:v>
      </x:c>
      <x:c r="E255" s="9" t="str">
        <x:v>BNZ + TradePilot match</x:v>
      </x:c>
      <x:c r="F255" s="9" t="str">
        <x:v>CLAUDE.AI SUBSCRIPTI</x:v>
      </x:c>
      <x:c r="G255" s="11" t="n">
        <x:v>200</x:v>
      </x:c>
      <x:c r="H255" s="11" t="n">
        <x:v>26.09</x:v>
      </x:c>
      <x:c r="I255" s="9" t="str">
        <x:v>Y</x:v>
      </x:c>
      <x:c r="J255" s="9" t="str">
        <x:v>High</x:v>
      </x:c>
      <x:c r="K255" s="9" t="str">
        <x:v>Bank payment matched to GST-coded TradePilot entry</x:v>
      </x:c>
      <x:c r="L255" s="9" t="str">
        <x:v>Matched business purchase.</x:v>
      </x:c>
      <x:c r="M255" s="9" t="str">
        <x:v>ap7ljt</x:v>
      </x:c>
    </x:row>
    <x:row r="256" ht="15" hidden="0" customHeight="1">
      <x:c r="A256" s="9" t="str">
        <x:v>Invoice basis</x:v>
      </x:c>
      <x:c r="B256" s="9" t="str">
        <x:v>1 Feb-31 Jul 2026</x:v>
      </x:c>
      <x:c r="C256" s="10" t="n">
        <x:v>46173</x:v>
      </x:c>
      <x:c r="D256" s="9" t="str">
        <x:v>Purchase</x:v>
      </x:c>
      <x:c r="E256" s="9" t="str">
        <x:v>BNZ + TradePilot match</x:v>
      </x:c>
      <x:c r="F256" s="9" t="str">
        <x:v>BP 2GO CROMWELL</x:v>
      </x:c>
      <x:c r="G256" s="11" t="n">
        <x:v>156.18</x:v>
      </x:c>
      <x:c r="H256" s="11" t="n">
        <x:v>20.37</x:v>
      </x:c>
      <x:c r="I256" s="9" t="str">
        <x:v>Y</x:v>
      </x:c>
      <x:c r="J256" s="9" t="str">
        <x:v>High</x:v>
      </x:c>
      <x:c r="K256" s="9" t="str">
        <x:v>Bank payment matched to GST-coded TradePilot entry</x:v>
      </x:c>
      <x:c r="L256" s="9" t="str">
        <x:v>Matched business purchase.</x:v>
      </x:c>
      <x:c r="M256" s="9" t="str">
        <x:v>y515l</x:v>
      </x:c>
    </x:row>
    <x:row r="257" ht="15" hidden="0" customHeight="1">
      <x:c r="A257" s="9" t="str">
        <x:v>Invoice basis</x:v>
      </x:c>
      <x:c r="B257" s="9" t="str">
        <x:v>1 Feb-31 Jul 2026</x:v>
      </x:c>
      <x:c r="C257" s="10" t="n">
        <x:v>46173</x:v>
      </x:c>
      <x:c r="D257" s="9" t="str">
        <x:v>Purchase</x:v>
      </x:c>
      <x:c r="E257" s="9" t="str">
        <x:v>BNZ + TradePilot match</x:v>
      </x:c>
      <x:c r="F257" s="9" t="str">
        <x:v>MITRE 10 CROMWELL</x:v>
      </x:c>
      <x:c r="G257" s="11" t="n">
        <x:v>33.54</x:v>
      </x:c>
      <x:c r="H257" s="11" t="n">
        <x:v>4.38</x:v>
      </x:c>
      <x:c r="I257" s="9" t="str">
        <x:v>Y</x:v>
      </x:c>
      <x:c r="J257" s="9" t="str">
        <x:v>High</x:v>
      </x:c>
      <x:c r="K257" s="9" t="str">
        <x:v>Bank payment matched to GST-coded TradePilot entry</x:v>
      </x:c>
      <x:c r="L257" s="9" t="str">
        <x:v>Split allocation consolidated to one bank payment.</x:v>
      </x:c>
      <x:c r="M257" s="9" t="str">
        <x:v>net1k8</x:v>
      </x:c>
    </x:row>
    <x:row r="258" ht="15" hidden="0" customHeight="1">
      <x:c r="A258" s="9" t="str">
        <x:v>Invoice basis</x:v>
      </x:c>
      <x:c r="B258" s="9" t="str">
        <x:v>1 Feb-31 Jul 2026</x:v>
      </x:c>
      <x:c r="C258" s="10" t="n">
        <x:v>46174</x:v>
      </x:c>
      <x:c r="D258" s="9" t="str">
        <x:v>Purchase</x:v>
      </x:c>
      <x:c r="E258" s="9" t="str">
        <x:v>BNZ + TradePilot match</x:v>
      </x:c>
      <x:c r="F258" s="9" t="str">
        <x:v>Google Workspace_lak</x:v>
      </x:c>
      <x:c r="G258" s="11" t="n">
        <x:v>18.11</x:v>
      </x:c>
      <x:c r="H258" s="11" t="n">
        <x:v>2.36</x:v>
      </x:c>
      <x:c r="I258" s="9" t="str">
        <x:v>Y</x:v>
      </x:c>
      <x:c r="J258" s="9" t="str">
        <x:v>High</x:v>
      </x:c>
      <x:c r="K258" s="9" t="str">
        <x:v>Bank payment matched to GST-coded TradePilot entry</x:v>
      </x:c>
      <x:c r="L258" s="9" t="str">
        <x:v>Matched business purchase.</x:v>
      </x:c>
      <x:c r="M258" s="9" t="str">
        <x:v>ixlom5</x:v>
      </x:c>
    </x:row>
    <x:row r="259" ht="15" hidden="0" customHeight="1">
      <x:c r="A259" s="9" t="str">
        <x:v>Invoice basis</x:v>
      </x:c>
      <x:c r="B259" s="9" t="str">
        <x:v>1 Feb-31 Jul 2026</x:v>
      </x:c>
      <x:c r="C259" s="10" t="n">
        <x:v>46174</x:v>
      </x:c>
      <x:c r="D259" s="9" t="str">
        <x:v>Purchase</x:v>
      </x:c>
      <x:c r="E259" s="9" t="str">
        <x:v>BNZ + TradePilot match</x:v>
      </x:c>
      <x:c r="F259" s="9" t="str">
        <x:v>MITRE 10 CROMWELL</x:v>
      </x:c>
      <x:c r="G259" s="11" t="n">
        <x:v>159.9</x:v>
      </x:c>
      <x:c r="H259" s="11" t="n">
        <x:v>20.86</x:v>
      </x:c>
      <x:c r="I259" s="9" t="str">
        <x:v>Y</x:v>
      </x:c>
      <x:c r="J259" s="9" t="str">
        <x:v>High</x:v>
      </x:c>
      <x:c r="K259" s="9" t="str">
        <x:v>Bank payment matched to GST-coded TradePilot entry</x:v>
      </x:c>
      <x:c r="L259" s="9" t="str">
        <x:v>Matched business purchase.</x:v>
      </x:c>
      <x:c r="M259" s="9" t="str">
        <x:v>ue4ze3</x:v>
      </x:c>
    </x:row>
    <x:row r="260" ht="15" hidden="0" customHeight="1">
      <x:c r="A260" s="9" t="str">
        <x:v>Invoice basis</x:v>
      </x:c>
      <x:c r="B260" s="9" t="str">
        <x:v>1 Feb-31 Jul 2026</x:v>
      </x:c>
      <x:c r="C260" s="10" t="n">
        <x:v>46176</x:v>
      </x:c>
      <x:c r="D260" s="9" t="str">
        <x:v>Purchase</x:v>
      </x:c>
      <x:c r="E260" s="9" t="str">
        <x:v>BNZ + TradePilot match</x:v>
      </x:c>
      <x:c r="F260" s="9" t="str">
        <x:v>BP 2GO CROMWELL</x:v>
      </x:c>
      <x:c r="G260" s="11" t="n">
        <x:v>177.22</x:v>
      </x:c>
      <x:c r="H260" s="11" t="n">
        <x:v>23.12</x:v>
      </x:c>
      <x:c r="I260" s="9" t="str">
        <x:v>Y</x:v>
      </x:c>
      <x:c r="J260" s="9" t="str">
        <x:v>High</x:v>
      </x:c>
      <x:c r="K260" s="9" t="str">
        <x:v>Bank payment matched to GST-coded TradePilot entry</x:v>
      </x:c>
      <x:c r="L260" s="9" t="str">
        <x:v>Matched business purchase.</x:v>
      </x:c>
      <x:c r="M260" s="9" t="str">
        <x:v>sl5lxg</x:v>
      </x:c>
    </x:row>
    <x:row r="261" ht="15" hidden="0" customHeight="1">
      <x:c r="A261" s="9" t="str">
        <x:v>Invoice basis</x:v>
      </x:c>
      <x:c r="B261" s="9" t="str">
        <x:v>1 Feb-31 Jul 2026</x:v>
      </x:c>
      <x:c r="C261" s="10" t="n">
        <x:v>46176</x:v>
      </x:c>
      <x:c r="D261" s="9" t="str">
        <x:v>Purchase</x:v>
      </x:c>
      <x:c r="E261" s="9" t="str">
        <x:v>BNZ + TradePilot match</x:v>
      </x:c>
      <x:c r="F261" s="9" t="str">
        <x:v>INTERCITYWEB</x:v>
      </x:c>
      <x:c r="G261" s="11" t="n">
        <x:v>85.5</x:v>
      </x:c>
      <x:c r="H261" s="11" t="n">
        <x:v>11.15</x:v>
      </x:c>
      <x:c r="I261" s="9" t="str">
        <x:v>Y</x:v>
      </x:c>
      <x:c r="J261" s="9" t="str">
        <x:v>High</x:v>
      </x:c>
      <x:c r="K261" s="9" t="str">
        <x:v>Bank payment matched to GST-coded TradePilot entry</x:v>
      </x:c>
      <x:c r="L261" s="9" t="str">
        <x:v>Matched business purchase.</x:v>
      </x:c>
      <x:c r="M261" s="9" t="str">
        <x:v>domyky</x:v>
      </x:c>
    </x:row>
    <x:row r="262" ht="15" hidden="0" customHeight="1">
      <x:c r="A262" s="9" t="str">
        <x:v>Invoice basis</x:v>
      </x:c>
      <x:c r="B262" s="9" t="str">
        <x:v>1 Feb-31 Jul 2026</x:v>
      </x:c>
      <x:c r="C262" s="10" t="n">
        <x:v>46179</x:v>
      </x:c>
      <x:c r="D262" s="9" t="str">
        <x:v>Sale</x:v>
      </x:c>
      <x:c r="E262" s="9" t="str">
        <x:v>TradePilot invoice</x:v>
      </x:c>
      <x:c r="F262" s="9" t="str">
        <x:v>INV-034-FIN · final · Balance on completion (70%) — Final invoice for painting hallway, stairwell and access areas</x:v>
      </x:c>
      <x:c r="G262" s="11" t="n">
        <x:v>4186</x:v>
      </x:c>
      <x:c r="H262" s="11" t="n">
        <x:v>546</x:v>
      </x:c>
      <x:c r="I262" s="9" t="str">
        <x:v>Y</x:v>
      </x:c>
      <x:c r="J262" s="9" t="str">
        <x:v>Medium</x:v>
      </x:c>
      <x:c r="K262" s="9" t="str">
        <x:v>TradePilot invoice record</x:v>
      </x:c>
      <x:c r="L262" s="9" t="str">
        <x:v>Invoice record used; payment date is earlier where applicable.</x:v>
      </x:c>
      <x:c r="M262" s="9" t="str">
        <x:v>INV-034-FIN</x:v>
      </x:c>
    </x:row>
    <x:row r="263" ht="15" hidden="0" customHeight="1">
      <x:c r="A263" s="9" t="str">
        <x:v>Invoice basis</x:v>
      </x:c>
      <x:c r="B263" s="9" t="str">
        <x:v>1 Feb-31 Jul 2026</x:v>
      </x:c>
      <x:c r="C263" s="10" t="n">
        <x:v>46180</x:v>
      </x:c>
      <x:c r="D263" s="9" t="str">
        <x:v>Purchase</x:v>
      </x:c>
      <x:c r="E263" s="9" t="str">
        <x:v>BNZ + TradePilot match</x:v>
      </x:c>
      <x:c r="F263" s="9" t="str">
        <x:v>OPENAI *CHATGPT SUBS</x:v>
      </x:c>
      <x:c r="G263" s="11" t="n">
        <x:v>40.63</x:v>
      </x:c>
      <x:c r="H263" s="11" t="n">
        <x:v>5.3</x:v>
      </x:c>
      <x:c r="I263" s="9" t="str">
        <x:v>Y</x:v>
      </x:c>
      <x:c r="J263" s="9" t="str">
        <x:v>High</x:v>
      </x:c>
      <x:c r="K263" s="9" t="str">
        <x:v>Bank payment matched to GST-coded TradePilot entry</x:v>
      </x:c>
      <x:c r="L263" s="9" t="str">
        <x:v>Matched business purchase.</x:v>
      </x:c>
      <x:c r="M263" s="9" t="str">
        <x:v>5cmp7b</x:v>
      </x:c>
    </x:row>
    <x:row r="264" ht="15" hidden="0" customHeight="1">
      <x:c r="A264" s="9" t="str">
        <x:v>Invoice basis</x:v>
      </x:c>
      <x:c r="B264" s="9" t="str">
        <x:v>1 Feb-31 Jul 2026</x:v>
      </x:c>
      <x:c r="C264" s="10" t="n">
        <x:v>46181</x:v>
      </x:c>
      <x:c r="D264" s="9" t="str">
        <x:v>Purchase</x:v>
      </x:c>
      <x:c r="E264" s="9" t="str">
        <x:v>BNZ + TradePilot match</x:v>
      </x:c>
      <x:c r="F264" s="9" t="str">
        <x:v>ANGELA HILL</x:v>
      </x:c>
      <x:c r="G264" s="11" t="n">
        <x:v>9000</x:v>
      </x:c>
      <x:c r="H264" s="11" t="n">
        <x:v>1173.91</x:v>
      </x:c>
      <x:c r="I264" s="9" t="str">
        <x:v>Y</x:v>
      </x:c>
      <x:c r="J264" s="9" t="str">
        <x:v>High</x:v>
      </x:c>
      <x:c r="K264" s="9" t="str">
        <x:v>Bank payment matched to GST-coded TradePilot entry</x:v>
      </x:c>
      <x:c r="L264" s="9" t="str">
        <x:v>Matched business purchase.</x:v>
      </x:c>
      <x:c r="M264" s="9" t="str">
        <x:v>9cgigs</x:v>
      </x:c>
    </x:row>
    <x:row r="265" ht="15" hidden="0" customHeight="1">
      <x:c r="A265" s="9" t="str">
        <x:v>Invoice basis</x:v>
      </x:c>
      <x:c r="B265" s="9" t="str">
        <x:v>1 Feb-31 Jul 2026</x:v>
      </x:c>
      <x:c r="C265" s="10" t="n">
        <x:v>46182</x:v>
      </x:c>
      <x:c r="D265" s="9" t="str">
        <x:v>Sale</x:v>
      </x:c>
      <x:c r="E265" s="9" t="str">
        <x:v>TradePilot invoice</x:v>
      </x:c>
      <x:c r="F265" s="9" t="str">
        <x:v>INV-B43C21 · deposit</x:v>
      </x:c>
      <x:c r="G265" s="11" t="n">
        <x:v>1130.74</x:v>
      </x:c>
      <x:c r="H265" s="11" t="n">
        <x:v>147.49</x:v>
      </x:c>
      <x:c r="I265" s="9" t="str">
        <x:v>Y</x:v>
      </x:c>
      <x:c r="J265" s="9" t="str">
        <x:v>Medium</x:v>
      </x:c>
      <x:c r="K265" s="9" t="str">
        <x:v>TradePilot invoice record</x:v>
      </x:c>
      <x:c r="L265" s="9" t="str">
        <x:v>Invoice record used; payment date is earlier where applicable.</x:v>
      </x:c>
      <x:c r="M265" s="9" t="str">
        <x:v>INV-B43C21</x:v>
      </x:c>
    </x:row>
    <x:row r="266" ht="15" hidden="0" customHeight="1">
      <x:c r="A266" s="9" t="str">
        <x:v>Invoice basis</x:v>
      </x:c>
      <x:c r="B266" s="9" t="str">
        <x:v>1 Feb-31 Jul 2026</x:v>
      </x:c>
      <x:c r="C266" s="10" t="n">
        <x:v>46184</x:v>
      </x:c>
      <x:c r="D266" s="9" t="str">
        <x:v>Purchase</x:v>
      </x:c>
      <x:c r="E266" s="9" t="str">
        <x:v>BNZ + TradePilot match</x:v>
      </x:c>
      <x:c r="F266" s="9" t="str">
        <x:v>BP CONNECT WANAKA</x:v>
      </x:c>
      <x:c r="G266" s="11" t="n">
        <x:v>80.97</x:v>
      </x:c>
      <x:c r="H266" s="11" t="n">
        <x:v>10.56</x:v>
      </x:c>
      <x:c r="I266" s="9" t="str">
        <x:v>Y</x:v>
      </x:c>
      <x:c r="J266" s="9" t="str">
        <x:v>High</x:v>
      </x:c>
      <x:c r="K266" s="9" t="str">
        <x:v>Bank payment matched to GST-coded TradePilot entry</x:v>
      </x:c>
      <x:c r="L266" s="9" t="str">
        <x:v>Matched business purchase.</x:v>
      </x:c>
      <x:c r="M266" s="9" t="str">
        <x:v>kpk1vh</x:v>
      </x:c>
    </x:row>
    <x:row r="267" ht="15" hidden="0" customHeight="1">
      <x:c r="A267" s="9" t="str">
        <x:v>Invoice basis</x:v>
      </x:c>
      <x:c r="B267" s="9" t="str">
        <x:v>1 Feb-31 Jul 2026</x:v>
      </x:c>
      <x:c r="C267" s="10" t="n">
        <x:v>46185</x:v>
      </x:c>
      <x:c r="D267" s="9" t="str">
        <x:v>Purchase</x:v>
      </x:c>
      <x:c r="E267" s="9" t="str">
        <x:v>BNZ + TradePilot match</x:v>
      </x:c>
      <x:c r="F267" s="9" t="str">
        <x:v>AA INSURANCE</x:v>
      </x:c>
      <x:c r="G267" s="11" t="n">
        <x:v>70.77</x:v>
      </x:c>
      <x:c r="H267" s="11" t="n">
        <x:v>9.23</x:v>
      </x:c>
      <x:c r="I267" s="9" t="str">
        <x:v>Y</x:v>
      </x:c>
      <x:c r="J267" s="9" t="str">
        <x:v>High</x:v>
      </x:c>
      <x:c r="K267" s="9" t="str">
        <x:v>Bank payment matched to GST-coded TradePilot entry</x:v>
      </x:c>
      <x:c r="L267" s="9" t="str">
        <x:v>Matched business purchase.</x:v>
      </x:c>
      <x:c r="M267" s="9" t="str">
        <x:v>pdkyxx</x:v>
      </x:c>
    </x:row>
    <x:row r="268" ht="15" hidden="0" customHeight="1">
      <x:c r="A268" s="9" t="str">
        <x:v>Invoice basis</x:v>
      </x:c>
      <x:c r="B268" s="9" t="str">
        <x:v>1 Feb-31 Jul 2026</x:v>
      </x:c>
      <x:c r="C268" s="10" t="n">
        <x:v>46187</x:v>
      </x:c>
      <x:c r="D268" s="9" t="str">
        <x:v>Sale</x:v>
      </x:c>
      <x:c r="E268" s="9" t="str">
        <x:v>TradePilot invoice</x:v>
      </x:c>
      <x:c r="F268" s="9" t="str">
        <x:v>INV-8836EB · deposit</x:v>
      </x:c>
      <x:c r="G268" s="11" t="n">
        <x:v>686.38</x:v>
      </x:c>
      <x:c r="H268" s="11" t="n">
        <x:v>89.53</x:v>
      </x:c>
      <x:c r="I268" s="9" t="str">
        <x:v>Y</x:v>
      </x:c>
      <x:c r="J268" s="9" t="str">
        <x:v>Medium</x:v>
      </x:c>
      <x:c r="K268" s="9" t="str">
        <x:v>TradePilot invoice record</x:v>
      </x:c>
      <x:c r="L268" s="9" t="str">
        <x:v>Invoice record used; payment date is earlier where applicable.</x:v>
      </x:c>
      <x:c r="M268" s="9" t="str">
        <x:v>INV-8836EB</x:v>
      </x:c>
    </x:row>
    <x:row r="269" ht="15" hidden="0" customHeight="1">
      <x:c r="A269" s="9" t="str">
        <x:v>Invoice basis</x:v>
      </x:c>
      <x:c r="B269" s="9" t="str">
        <x:v>1 Feb-31 Jul 2026</x:v>
      </x:c>
      <x:c r="C269" s="10" t="n">
        <x:v>46188</x:v>
      </x:c>
      <x:c r="D269" s="9" t="str">
        <x:v>Purchase</x:v>
      </x:c>
      <x:c r="E269" s="9" t="str">
        <x:v>BNZ + TradePilot match</x:v>
      </x:c>
      <x:c r="F269" s="9" t="str">
        <x:v>ONE NZ</x:v>
      </x:c>
      <x:c r="G269" s="11" t="n">
        <x:v>193.73</x:v>
      </x:c>
      <x:c r="H269" s="11" t="n">
        <x:v>25.27</x:v>
      </x:c>
      <x:c r="I269" s="9" t="str">
        <x:v>Y</x:v>
      </x:c>
      <x:c r="J269" s="9" t="str">
        <x:v>High</x:v>
      </x:c>
      <x:c r="K269" s="9" t="str">
        <x:v>Bank payment matched to GST-coded TradePilot entry</x:v>
      </x:c>
      <x:c r="L269" s="9" t="str">
        <x:v>Matched business purchase.</x:v>
      </x:c>
      <x:c r="M269" s="9" t="str">
        <x:v>xo09e6</x:v>
      </x:c>
    </x:row>
    <x:row r="270" ht="15" hidden="0" customHeight="1">
      <x:c r="A270" s="9" t="str">
        <x:v>Invoice basis</x:v>
      </x:c>
      <x:c r="B270" s="9" t="str">
        <x:v>1 Feb-31 Jul 2026</x:v>
      </x:c>
      <x:c r="C270" s="10" t="n">
        <x:v>46189</x:v>
      </x:c>
      <x:c r="D270" s="9" t="str">
        <x:v>Purchase</x:v>
      </x:c>
      <x:c r="E270" s="9" t="str">
        <x:v>BNZ + TradePilot match</x:v>
      </x:c>
      <x:c r="F270" s="9" t="str">
        <x:v>Wanaka Auto Repairs</x:v>
      </x:c>
      <x:c r="G270" s="11" t="n">
        <x:v>356.29</x:v>
      </x:c>
      <x:c r="H270" s="11" t="n">
        <x:v>46.47</x:v>
      </x:c>
      <x:c r="I270" s="9" t="str">
        <x:v>Y</x:v>
      </x:c>
      <x:c r="J270" s="9" t="str">
        <x:v>High</x:v>
      </x:c>
      <x:c r="K270" s="9" t="str">
        <x:v>Bank payment matched to GST-coded TradePilot entry</x:v>
      </x:c>
      <x:c r="L270" s="9" t="str">
        <x:v>Matched business purchase.</x:v>
      </x:c>
      <x:c r="M270" s="9" t="str">
        <x:v>3sggtp</x:v>
      </x:c>
    </x:row>
    <x:row r="271" ht="15" hidden="0" customHeight="1">
      <x:c r="A271" s="9" t="str">
        <x:v>Invoice basis</x:v>
      </x:c>
      <x:c r="B271" s="9" t="str">
        <x:v>1 Feb-31 Jul 2026</x:v>
      </x:c>
      <x:c r="C271" s="10" t="n">
        <x:v>46189</x:v>
      </x:c>
      <x:c r="D271" s="9" t="str">
        <x:v>Sale</x:v>
      </x:c>
      <x:c r="E271" s="9" t="str">
        <x:v>TradePilot invoice</x:v>
      </x:c>
      <x:c r="F271" s="9" t="str">
        <x:v>INV-5EC340 · deposit · Deposit (30%) — to secure booking</x:v>
      </x:c>
      <x:c r="G271" s="11" t="n">
        <x:v>598</x:v>
      </x:c>
      <x:c r="H271" s="11" t="n">
        <x:v>78</x:v>
      </x:c>
      <x:c r="I271" s="9" t="str">
        <x:v>Y</x:v>
      </x:c>
      <x:c r="J271" s="9" t="str">
        <x:v>Medium</x:v>
      </x:c>
      <x:c r="K271" s="9" t="str">
        <x:v>TradePilot invoice record</x:v>
      </x:c>
      <x:c r="L271" s="9" t="str">
        <x:v>Invoice record used; payment date is earlier where applicable.</x:v>
      </x:c>
      <x:c r="M271" s="9" t="str">
        <x:v>INV-5EC340</x:v>
      </x:c>
    </x:row>
    <x:row r="272" ht="15" hidden="0" customHeight="1">
      <x:c r="A272" s="9" t="str">
        <x:v>Invoice basis</x:v>
      </x:c>
      <x:c r="B272" s="9" t="str">
        <x:v>1 Feb-31 Jul 2026</x:v>
      </x:c>
      <x:c r="C272" s="10" t="n">
        <x:v>46189</x:v>
      </x:c>
      <x:c r="D272" s="9" t="str">
        <x:v>Sale</x:v>
      </x:c>
      <x:c r="E272" s="9" t="str">
        <x:v>TradePilot invoice</x:v>
      </x:c>
      <x:c r="F272" s="9" t="str">
        <x:v>INV-CD14E6 · deposit</x:v>
      </x:c>
      <x:c r="G272" s="11" t="n">
        <x:v>761.76</x:v>
      </x:c>
      <x:c r="H272" s="11" t="n">
        <x:v>99.36</x:v>
      </x:c>
      <x:c r="I272" s="9" t="str">
        <x:v>Y</x:v>
      </x:c>
      <x:c r="J272" s="9" t="str">
        <x:v>Medium</x:v>
      </x:c>
      <x:c r="K272" s="9" t="str">
        <x:v>TradePilot invoice record</x:v>
      </x:c>
      <x:c r="L272" s="9" t="str">
        <x:v>Invoice record used; payment date is earlier where applicable.</x:v>
      </x:c>
      <x:c r="M272" s="9" t="str">
        <x:v>INV-CD14E6</x:v>
      </x:c>
    </x:row>
    <x:row r="273" ht="15" hidden="0" customHeight="1">
      <x:c r="A273" s="9" t="str">
        <x:v>Invoice basis</x:v>
      </x:c>
      <x:c r="B273" s="9" t="str">
        <x:v>1 Feb-31 Jul 2026</x:v>
      </x:c>
      <x:c r="C273" s="10" t="n">
        <x:v>46190</x:v>
      </x:c>
      <x:c r="D273" s="9" t="str">
        <x:v>Purchase</x:v>
      </x:c>
      <x:c r="E273" s="9" t="str">
        <x:v>BNZ + TradePilot match</x:v>
      </x:c>
      <x:c r="F273" s="9" t="str">
        <x:v>WASTE MANAGEMENT</x:v>
      </x:c>
      <x:c r="G273" s="11" t="n">
        <x:v>45</x:v>
      </x:c>
      <x:c r="H273" s="11" t="n">
        <x:v>5.87</x:v>
      </x:c>
      <x:c r="I273" s="9" t="str">
        <x:v>Y</x:v>
      </x:c>
      <x:c r="J273" s="9" t="str">
        <x:v>High</x:v>
      </x:c>
      <x:c r="K273" s="9" t="str">
        <x:v>Bank payment matched to GST-coded TradePilot entry</x:v>
      </x:c>
      <x:c r="L273" s="9" t="str">
        <x:v>Matched business purchase.</x:v>
      </x:c>
      <x:c r="M273" s="9" t="str">
        <x:v>dfopez</x:v>
      </x:c>
    </x:row>
    <x:row r="274" ht="15" hidden="0" customHeight="1">
      <x:c r="A274" s="9" t="str">
        <x:v>Invoice basis</x:v>
      </x:c>
      <x:c r="B274" s="9" t="str">
        <x:v>1 Feb-31 Jul 2026</x:v>
      </x:c>
      <x:c r="C274" s="10" t="n">
        <x:v>46193</x:v>
      </x:c>
      <x:c r="D274" s="9" t="str">
        <x:v>Purchase</x:v>
      </x:c>
      <x:c r="E274" s="9" t="str">
        <x:v>BNZ + TradePilot match</x:v>
      </x:c>
      <x:c r="F274" s="9" t="str">
        <x:v>Dulux</x:v>
      </x:c>
      <x:c r="G274" s="11" t="n">
        <x:v>1449.01</x:v>
      </x:c>
      <x:c r="H274" s="11" t="n">
        <x:v>188.99</x:v>
      </x:c>
      <x:c r="I274" s="9" t="str">
        <x:v>Y</x:v>
      </x:c>
      <x:c r="J274" s="9" t="str">
        <x:v>High</x:v>
      </x:c>
      <x:c r="K274" s="9" t="str">
        <x:v>Bank payment matched to GST-coded TradePilot entry</x:v>
      </x:c>
      <x:c r="L274" s="9" t="str">
        <x:v>Split allocation consolidated to one bank payment.</x:v>
      </x:c>
      <x:c r="M274" s="9" t="str">
        <x:v>lwu4ov</x:v>
      </x:c>
    </x:row>
    <x:row r="275" ht="15" hidden="0" customHeight="1">
      <x:c r="A275" s="9" t="str">
        <x:v>Invoice basis</x:v>
      </x:c>
      <x:c r="B275" s="9" t="str">
        <x:v>1 Feb-31 Jul 2026</x:v>
      </x:c>
      <x:c r="C275" s="10" t="n">
        <x:v>46193</x:v>
      </x:c>
      <x:c r="D275" s="9" t="str">
        <x:v>Purchase</x:v>
      </x:c>
      <x:c r="E275" s="9" t="str">
        <x:v>BNZ + TradePilot match</x:v>
      </x:c>
      <x:c r="F275" s="9" t="str">
        <x:v>Taskhound Limited</x:v>
      </x:c>
      <x:c r="G275" s="11" t="n">
        <x:v>987.73</x:v>
      </x:c>
      <x:c r="H275" s="11" t="n">
        <x:v>128.83</x:v>
      </x:c>
      <x:c r="I275" s="9" t="str">
        <x:v>Y</x:v>
      </x:c>
      <x:c r="J275" s="9" t="str">
        <x:v>High</x:v>
      </x:c>
      <x:c r="K275" s="9" t="str">
        <x:v>Bank payment matched to GST-coded TradePilot entry</x:v>
      </x:c>
      <x:c r="L275" s="9" t="str">
        <x:v>Matched business purchase.</x:v>
      </x:c>
      <x:c r="M275" s="9" t="str">
        <x:v>wz5nqf</x:v>
      </x:c>
    </x:row>
    <x:row r="276" ht="15" hidden="0" customHeight="1">
      <x:c r="A276" s="9" t="str">
        <x:v>Invoice basis</x:v>
      </x:c>
      <x:c r="B276" s="9" t="str">
        <x:v>1 Feb-31 Jul 2026</x:v>
      </x:c>
      <x:c r="C276" s="10" t="n">
        <x:v>46193</x:v>
      </x:c>
      <x:c r="D276" s="9" t="str">
        <x:v>Purchase</x:v>
      </x:c>
      <x:c r="E276" s="9" t="str">
        <x:v>BNZ + TradePilot match</x:v>
      </x:c>
      <x:c r="F276" s="9" t="str">
        <x:v>RESENE PAINTS LTD</x:v>
      </x:c>
      <x:c r="G276" s="11" t="n">
        <x:v>268.76</x:v>
      </x:c>
      <x:c r="H276" s="11" t="n">
        <x:v>35.06</x:v>
      </x:c>
      <x:c r="I276" s="9" t="str">
        <x:v>Y</x:v>
      </x:c>
      <x:c r="J276" s="9" t="str">
        <x:v>High</x:v>
      </x:c>
      <x:c r="K276" s="9" t="str">
        <x:v>Bank payment matched to GST-coded TradePilot entry</x:v>
      </x:c>
      <x:c r="L276" s="9" t="str">
        <x:v>Split allocation consolidated to one bank payment.</x:v>
      </x:c>
      <x:c r="M276" s="9" t="str">
        <x:v>3so5vi</x:v>
      </x:c>
    </x:row>
    <x:row r="277" ht="15" hidden="0" customHeight="1">
      <x:c r="A277" s="9" t="str">
        <x:v>Invoice basis</x:v>
      </x:c>
      <x:c r="B277" s="9" t="str">
        <x:v>1 Feb-31 Jul 2026</x:v>
      </x:c>
      <x:c r="C277" s="10" t="n">
        <x:v>46195</x:v>
      </x:c>
      <x:c r="D277" s="9" t="str">
        <x:v>Purchase</x:v>
      </x:c>
      <x:c r="E277" s="9" t="str">
        <x:v>BNZ + TradePilot match</x:v>
      </x:c>
      <x:c r="F277" s="9" t="str">
        <x:v>BP CONNECT WANAKA</x:v>
      </x:c>
      <x:c r="G277" s="11" t="n">
        <x:v>30.22</x:v>
      </x:c>
      <x:c r="H277" s="11" t="n">
        <x:v>3.94</x:v>
      </x:c>
      <x:c r="I277" s="9" t="str">
        <x:v>Y</x:v>
      </x:c>
      <x:c r="J277" s="9" t="str">
        <x:v>High</x:v>
      </x:c>
      <x:c r="K277" s="9" t="str">
        <x:v>Bank payment matched to GST-coded TradePilot entry</x:v>
      </x:c>
      <x:c r="L277" s="9" t="str">
        <x:v>Matched business purchase.</x:v>
      </x:c>
      <x:c r="M277" s="9" t="str">
        <x:v>eiu7n4</x:v>
      </x:c>
    </x:row>
    <x:row r="278" ht="15" hidden="0" customHeight="1">
      <x:c r="A278" s="9" t="str">
        <x:v>Invoice basis</x:v>
      </x:c>
      <x:c r="B278" s="9" t="str">
        <x:v>1 Feb-31 Jul 2026</x:v>
      </x:c>
      <x:c r="C278" s="10" t="n">
        <x:v>46195</x:v>
      </x:c>
      <x:c r="D278" s="9" t="str">
        <x:v>Purchase</x:v>
      </x:c>
      <x:c r="E278" s="9" t="str">
        <x:v>BNZ + TradePilot match</x:v>
      </x:c>
      <x:c r="F278" s="9" t="str">
        <x:v>MITRE 10 MEGA WANAKA</x:v>
      </x:c>
      <x:c r="G278" s="11" t="n">
        <x:v>27.96</x:v>
      </x:c>
      <x:c r="H278" s="11" t="n">
        <x:v>3.65</x:v>
      </x:c>
      <x:c r="I278" s="9" t="str">
        <x:v>Y</x:v>
      </x:c>
      <x:c r="J278" s="9" t="str">
        <x:v>High</x:v>
      </x:c>
      <x:c r="K278" s="9" t="str">
        <x:v>Bank payment matched to GST-coded TradePilot entry</x:v>
      </x:c>
      <x:c r="L278" s="9" t="str">
        <x:v>Matched business purchase.</x:v>
      </x:c>
      <x:c r="M278" s="9" t="str">
        <x:v>i3vt8w</x:v>
      </x:c>
    </x:row>
    <x:row r="279" ht="15" hidden="0" customHeight="1">
      <x:c r="A279" s="9" t="str">
        <x:v>Invoice basis</x:v>
      </x:c>
      <x:c r="B279" s="9" t="str">
        <x:v>1 Feb-31 Jul 2026</x:v>
      </x:c>
      <x:c r="C279" s="10" t="n">
        <x:v>46196</x:v>
      </x:c>
      <x:c r="D279" s="9" t="str">
        <x:v>Purchase</x:v>
      </x:c>
      <x:c r="E279" s="9" t="str">
        <x:v>BNZ + TradePilot match</x:v>
      </x:c>
      <x:c r="F279" s="9" t="str">
        <x:v>MITRE 10 MEGA WANAKA</x:v>
      </x:c>
      <x:c r="G279" s="11" t="n">
        <x:v>64.84</x:v>
      </x:c>
      <x:c r="H279" s="11" t="n">
        <x:v>8.46</x:v>
      </x:c>
      <x:c r="I279" s="9" t="str">
        <x:v>Y</x:v>
      </x:c>
      <x:c r="J279" s="9" t="str">
        <x:v>High</x:v>
      </x:c>
      <x:c r="K279" s="9" t="str">
        <x:v>Bank payment matched to GST-coded TradePilot entry</x:v>
      </x:c>
      <x:c r="L279" s="9" t="str">
        <x:v>Matched business purchase.</x:v>
      </x:c>
      <x:c r="M279" s="9" t="str">
        <x:v>dvs6q1</x:v>
      </x:c>
    </x:row>
    <x:row r="280" ht="15" hidden="0" customHeight="1">
      <x:c r="A280" s="9" t="str">
        <x:v>Invoice basis</x:v>
      </x:c>
      <x:c r="B280" s="9" t="str">
        <x:v>1 Feb-31 Jul 2026</x:v>
      </x:c>
      <x:c r="C280" s="10" t="n">
        <x:v>46196</x:v>
      </x:c>
      <x:c r="D280" s="9" t="str">
        <x:v>Purchase</x:v>
      </x:c>
      <x:c r="E280" s="9" t="str">
        <x:v>BNZ + TradePilot match</x:v>
      </x:c>
      <x:c r="F280" s="9" t="str">
        <x:v>MITRE 10 MEGA WANAKA</x:v>
      </x:c>
      <x:c r="G280" s="11" t="n">
        <x:v>420.09</x:v>
      </x:c>
      <x:c r="H280" s="11" t="n">
        <x:v>54.79</x:v>
      </x:c>
      <x:c r="I280" s="9" t="str">
        <x:v>Y</x:v>
      </x:c>
      <x:c r="J280" s="9" t="str">
        <x:v>High</x:v>
      </x:c>
      <x:c r="K280" s="9" t="str">
        <x:v>Bank payment matched to GST-coded TradePilot entry</x:v>
      </x:c>
      <x:c r="L280" s="9" t="str">
        <x:v>Matched business purchase.</x:v>
      </x:c>
      <x:c r="M280" s="9" t="str">
        <x:v>p09bk</x:v>
      </x:c>
    </x:row>
    <x:row r="281" ht="15" hidden="0" customHeight="1">
      <x:c r="A281" s="9" t="str">
        <x:v>Invoice basis</x:v>
      </x:c>
      <x:c r="B281" s="9" t="str">
        <x:v>1 Feb-31 Jul 2026</x:v>
      </x:c>
      <x:c r="C281" s="10" t="n">
        <x:v>46198</x:v>
      </x:c>
      <x:c r="D281" s="9" t="str">
        <x:v>Purchase</x:v>
      </x:c>
      <x:c r="E281" s="9" t="str">
        <x:v>BNZ + TradePilot match</x:v>
      </x:c>
      <x:c r="F281" s="9" t="str">
        <x:v>BP CONNECT WANAKA</x:v>
      </x:c>
      <x:c r="G281" s="11" t="n">
        <x:v>88.09</x:v>
      </x:c>
      <x:c r="H281" s="11" t="n">
        <x:v>11.49</x:v>
      </x:c>
      <x:c r="I281" s="9" t="str">
        <x:v>Y</x:v>
      </x:c>
      <x:c r="J281" s="9" t="str">
        <x:v>High</x:v>
      </x:c>
      <x:c r="K281" s="9" t="str">
        <x:v>Bank payment matched to GST-coded TradePilot entry</x:v>
      </x:c>
      <x:c r="L281" s="9" t="str">
        <x:v>Matched business purchase.</x:v>
      </x:c>
      <x:c r="M281" s="9" t="str">
        <x:v>emyws7</x:v>
      </x:c>
    </x:row>
    <x:row r="282" ht="15" hidden="0" customHeight="1">
      <x:c r="A282" s="9" t="str">
        <x:v>Invoice basis</x:v>
      </x:c>
      <x:c r="B282" s="9" t="str">
        <x:v>1 Feb-31 Jul 2026</x:v>
      </x:c>
      <x:c r="C282" s="10" t="n">
        <x:v>46199</x:v>
      </x:c>
      <x:c r="D282" s="9" t="str">
        <x:v>Sale</x:v>
      </x:c>
      <x:c r="E282" s="9" t="str">
        <x:v>TradePilot invoice</x:v>
      </x:c>
      <x:c r="F282" s="9" t="str">
        <x:v>INV-DCCD3B · final · Interior painting and materials</x:v>
      </x:c>
      <x:c r="G282" s="11" t="n">
        <x:v>1322.5</x:v>
      </x:c>
      <x:c r="H282" s="11" t="n">
        <x:v>172.5</x:v>
      </x:c>
      <x:c r="I282" s="9" t="str">
        <x:v>Y</x:v>
      </x:c>
      <x:c r="J282" s="9" t="str">
        <x:v>Medium</x:v>
      </x:c>
      <x:c r="K282" s="9" t="str">
        <x:v>TradePilot invoice record</x:v>
      </x:c>
      <x:c r="L282" s="9" t="str">
        <x:v>Invoice record used; payment date is earlier where applicable.</x:v>
      </x:c>
      <x:c r="M282" s="9" t="str">
        <x:v>INV-DCCD3B</x:v>
      </x:c>
    </x:row>
    <x:row r="283" ht="15" hidden="0" customHeight="1">
      <x:c r="A283" s="9" t="str">
        <x:v>Invoice basis</x:v>
      </x:c>
      <x:c r="B283" s="9" t="str">
        <x:v>1 Feb-31 Jul 2026</x:v>
      </x:c>
      <x:c r="C283" s="10" t="n">
        <x:v>46200</x:v>
      </x:c>
      <x:c r="D283" s="9" t="str">
        <x:v>Purchase</x:v>
      </x:c>
      <x:c r="E283" s="9" t="str">
        <x:v>BNZ + TradePilot match</x:v>
      </x:c>
      <x:c r="F283" s="9" t="str">
        <x:v>MITRE 10 MEGA WANAKA</x:v>
      </x:c>
      <x:c r="G283" s="11" t="n">
        <x:v>134.32</x:v>
      </x:c>
      <x:c r="H283" s="11" t="n">
        <x:v>17.52</x:v>
      </x:c>
      <x:c r="I283" s="9" t="str">
        <x:v>Y</x:v>
      </x:c>
      <x:c r="J283" s="9" t="str">
        <x:v>High</x:v>
      </x:c>
      <x:c r="K283" s="9" t="str">
        <x:v>Bank payment matched to GST-coded TradePilot entry</x:v>
      </x:c>
      <x:c r="L283" s="9" t="str">
        <x:v>Matched business purchase.</x:v>
      </x:c>
      <x:c r="M283" s="9" t="str">
        <x:v>yg3dxb</x:v>
      </x:c>
    </x:row>
    <x:row r="284" ht="15" hidden="0" customHeight="1">
      <x:c r="A284" s="9" t="str">
        <x:v>Invoice basis</x:v>
      </x:c>
      <x:c r="B284" s="9" t="str">
        <x:v>1 Feb-31 Jul 2026</x:v>
      </x:c>
      <x:c r="C284" s="10" t="n">
        <x:v>46201</x:v>
      </x:c>
      <x:c r="D284" s="9" t="str">
        <x:v>Purchase</x:v>
      </x:c>
      <x:c r="E284" s="9" t="str">
        <x:v>BNZ + TradePilot match</x:v>
      </x:c>
      <x:c r="F284" s="9" t="str">
        <x:v>BP CONNECT WANAKA</x:v>
      </x:c>
      <x:c r="G284" s="11" t="n">
        <x:v>112.29</x:v>
      </x:c>
      <x:c r="H284" s="11" t="n">
        <x:v>14.65</x:v>
      </x:c>
      <x:c r="I284" s="9" t="str">
        <x:v>Y</x:v>
      </x:c>
      <x:c r="J284" s="9" t="str">
        <x:v>High</x:v>
      </x:c>
      <x:c r="K284" s="9" t="str">
        <x:v>Bank payment matched to GST-coded TradePilot entry</x:v>
      </x:c>
      <x:c r="L284" s="9" t="str">
        <x:v>Matched business purchase.</x:v>
      </x:c>
      <x:c r="M284" s="9" t="str">
        <x:v>2xft0i</x:v>
      </x:c>
    </x:row>
    <x:row r="285" ht="15" hidden="0" customHeight="1">
      <x:c r="A285" s="9" t="str">
        <x:v>Invoice basis</x:v>
      </x:c>
      <x:c r="B285" s="9" t="str">
        <x:v>1 Feb-31 Jul 2026</x:v>
      </x:c>
      <x:c r="C285" s="10" t="n">
        <x:v>46201</x:v>
      </x:c>
      <x:c r="D285" s="9" t="str">
        <x:v>Sale</x:v>
      </x:c>
      <x:c r="E285" s="9" t="str">
        <x:v>TradePilot invoice</x:v>
      </x:c>
      <x:c r="F285" s="9" t="str">
        <x:v>INV-Q047 · deposit · Prepare and repaint three walls with stain-block sealer and low sheen topcoat</x:v>
      </x:c>
      <x:c r="G285" s="11" t="n">
        <x:v>1207.5</x:v>
      </x:c>
      <x:c r="H285" s="11" t="n">
        <x:v>157.5</x:v>
      </x:c>
      <x:c r="I285" s="9" t="str">
        <x:v>Y</x:v>
      </x:c>
      <x:c r="J285" s="9" t="str">
        <x:v>Medium</x:v>
      </x:c>
      <x:c r="K285" s="9" t="str">
        <x:v>TradePilot invoice record</x:v>
      </x:c>
      <x:c r="L285" s="9" t="str">
        <x:v>Invoice record used; payment date is earlier where applicable.</x:v>
      </x:c>
      <x:c r="M285" s="9" t="str">
        <x:v>INV-Q047</x:v>
      </x:c>
    </x:row>
    <x:row r="286" ht="15" hidden="0" customHeight="1">
      <x:c r="A286" s="9" t="str">
        <x:v>Invoice basis</x:v>
      </x:c>
      <x:c r="B286" s="9" t="str">
        <x:v>1 Feb-31 Jul 2026</x:v>
      </x:c>
      <x:c r="C286" s="10" t="n">
        <x:v>46203</x:v>
      </x:c>
      <x:c r="D286" s="9" t="str">
        <x:v>Purchase</x:v>
      </x:c>
      <x:c r="E286" s="9" t="str">
        <x:v>BNZ + TradePilot match</x:v>
      </x:c>
      <x:c r="F286" s="9" t="str">
        <x:v>ANTHROPIC* CLAUDE SU</x:v>
      </x:c>
      <x:c r="G286" s="11" t="n">
        <x:v>200</x:v>
      </x:c>
      <x:c r="H286" s="11" t="n">
        <x:v>26.09</x:v>
      </x:c>
      <x:c r="I286" s="9" t="str">
        <x:v>Y</x:v>
      </x:c>
      <x:c r="J286" s="9" t="str">
        <x:v>High</x:v>
      </x:c>
      <x:c r="K286" s="9" t="str">
        <x:v>Bank payment matched to GST-coded TradePilot entry</x:v>
      </x:c>
      <x:c r="L286" s="9" t="str">
        <x:v>Matched business purchase.</x:v>
      </x:c>
      <x:c r="M286" s="9" t="str">
        <x:v>yk4vw2</x:v>
      </x:c>
    </x:row>
    <x:row r="287" ht="15" hidden="0" customHeight="1">
      <x:c r="A287" s="9" t="str">
        <x:v>Invoice basis</x:v>
      </x:c>
      <x:c r="B287" s="9" t="str">
        <x:v>1 Feb-31 Jul 2026</x:v>
      </x:c>
      <x:c r="C287" s="10" t="n">
        <x:v>46204</x:v>
      </x:c>
      <x:c r="D287" s="9" t="str">
        <x:v>Purchase</x:v>
      </x:c>
      <x:c r="E287" s="9" t="str">
        <x:v>BNZ + TradePilot match</x:v>
      </x:c>
      <x:c r="F287" s="9" t="str">
        <x:v>WWW.TRADEMAX.CO.NZ</x:v>
      </x:c>
      <x:c r="G287" s="11" t="n">
        <x:v>588</x:v>
      </x:c>
      <x:c r="H287" s="11" t="n">
        <x:v>76.7</x:v>
      </x:c>
      <x:c r="I287" s="9" t="str">
        <x:v>Y</x:v>
      </x:c>
      <x:c r="J287" s="9" t="str">
        <x:v>High</x:v>
      </x:c>
      <x:c r="K287" s="9" t="str">
        <x:v>Bank payment matched to GST-coded TradePilot entry</x:v>
      </x:c>
      <x:c r="L287" s="9" t="str">
        <x:v>Matched business purchase.</x:v>
      </x:c>
      <x:c r="M287" s="9" t="str">
        <x:v>5rb1z3</x:v>
      </x:c>
    </x:row>
    <x:row r="288" ht="15" hidden="0" customHeight="1">
      <x:c r="A288" s="9" t="str">
        <x:v>Invoice basis</x:v>
      </x:c>
      <x:c r="B288" s="9" t="str">
        <x:v>1 Feb-31 Jul 2026</x:v>
      </x:c>
      <x:c r="C288" s="10" t="n">
        <x:v>46204</x:v>
      </x:c>
      <x:c r="D288" s="9" t="str">
        <x:v>Purchase</x:v>
      </x:c>
      <x:c r="E288" s="9" t="str">
        <x:v>BNZ + TradePilot match</x:v>
      </x:c>
      <x:c r="F288" s="9" t="str">
        <x:v>Google Workspace_lak</x:v>
      </x:c>
      <x:c r="G288" s="11" t="n">
        <x:v>22.75</x:v>
      </x:c>
      <x:c r="H288" s="11" t="n">
        <x:v>2.97</x:v>
      </x:c>
      <x:c r="I288" s="9" t="str">
        <x:v>Y</x:v>
      </x:c>
      <x:c r="J288" s="9" t="str">
        <x:v>High</x:v>
      </x:c>
      <x:c r="K288" s="9" t="str">
        <x:v>Bank payment matched to GST-coded TradePilot entry</x:v>
      </x:c>
      <x:c r="L288" s="9" t="str">
        <x:v>Matched business purchase.</x:v>
      </x:c>
      <x:c r="M288" s="9" t="str">
        <x:v>4ju9rb</x:v>
      </x:c>
    </x:row>
    <x:row r="289" ht="15" hidden="0" customHeight="1">
      <x:c r="A289" s="9" t="str">
        <x:v>Invoice basis</x:v>
      </x:c>
      <x:c r="B289" s="9" t="str">
        <x:v>1 Feb-31 Jul 2026</x:v>
      </x:c>
      <x:c r="C289" s="10" t="n">
        <x:v>46205</x:v>
      </x:c>
      <x:c r="D289" s="9" t="str">
        <x:v>Purchase</x:v>
      </x:c>
      <x:c r="E289" s="9" t="str">
        <x:v>BNZ + TradePilot match</x:v>
      </x:c>
      <x:c r="F289" s="9" t="str">
        <x:v>Mighty Ape KXH748KA</x:v>
      </x:c>
      <x:c r="G289" s="11" t="n">
        <x:v>334.99</x:v>
      </x:c>
      <x:c r="H289" s="11" t="n">
        <x:v>43.69</x:v>
      </x:c>
      <x:c r="I289" s="9" t="str">
        <x:v>Y</x:v>
      </x:c>
      <x:c r="J289" s="9" t="str">
        <x:v>High</x:v>
      </x:c>
      <x:c r="K289" s="9" t="str">
        <x:v>Bank payment matched to GST-coded TradePilot entry</x:v>
      </x:c>
      <x:c r="L289" s="9" t="str">
        <x:v>Matched business purchase.</x:v>
      </x:c>
      <x:c r="M289" s="9" t="str">
        <x:v>m7fhlo</x:v>
      </x:c>
    </x:row>
    <x:row r="290" ht="15" hidden="0" customHeight="1">
      <x:c r="A290" s="9" t="str">
        <x:v>Invoice basis</x:v>
      </x:c>
      <x:c r="B290" s="9" t="str">
        <x:v>1 Feb-31 Jul 2026</x:v>
      </x:c>
      <x:c r="C290" s="10" t="n">
        <x:v>46205</x:v>
      </x:c>
      <x:c r="D290" s="9" t="str">
        <x:v>Sale</x:v>
      </x:c>
      <x:c r="E290" s="9" t="str">
        <x:v>TradePilot invoice</x:v>
      </x:c>
      <x:c r="F290" s="9" t="str">
        <x:v>INV-B43C21-F · final</x:v>
      </x:c>
      <x:c r="G290" s="11" t="n">
        <x:v>2638.39</x:v>
      </x:c>
      <x:c r="H290" s="11" t="n">
        <x:v>344.14</x:v>
      </x:c>
      <x:c r="I290" s="9" t="str">
        <x:v>Y</x:v>
      </x:c>
      <x:c r="J290" s="9" t="str">
        <x:v>Medium</x:v>
      </x:c>
      <x:c r="K290" s="9" t="str">
        <x:v>TradePilot invoice record</x:v>
      </x:c>
      <x:c r="L290" s="9" t="str">
        <x:v>Invoice record used; payment date is earlier where applicable.</x:v>
      </x:c>
      <x:c r="M290" s="9" t="str">
        <x:v>INV-B43C21-F</x:v>
      </x:c>
    </x:row>
    <x:row r="291" ht="15" hidden="0" customHeight="1">
      <x:c r="A291" s="9" t="str">
        <x:v>Invoice basis</x:v>
      </x:c>
      <x:c r="B291" s="9" t="str">
        <x:v>1 Feb-31 Jul 2026</x:v>
      </x:c>
      <x:c r="C291" s="10" t="n">
        <x:v>46210</x:v>
      </x:c>
      <x:c r="D291" s="9" t="str">
        <x:v>Purchase</x:v>
      </x:c>
      <x:c r="E291" s="9" t="str">
        <x:v>BNZ + TradePilot match</x:v>
      </x:c>
      <x:c r="F291" s="9" t="str">
        <x:v>SUSANA ECHEVERRI</x:v>
      </x:c>
      <x:c r="G291" s="11" t="n">
        <x:v>1438.66</x:v>
      </x:c>
      <x:c r="H291" s="11" t="n">
        <x:v>187.65</x:v>
      </x:c>
      <x:c r="I291" s="9" t="str">
        <x:v>Y</x:v>
      </x:c>
      <x:c r="J291" s="9" t="str">
        <x:v>High</x:v>
      </x:c>
      <x:c r="K291" s="9" t="str">
        <x:v>Bank payment matched to GST-coded TradePilot entry</x:v>
      </x:c>
      <x:c r="L291" s="9" t="str">
        <x:v>Matched business purchase.</x:v>
      </x:c>
      <x:c r="M291" s="9" t="str">
        <x:v>aj4boa</x:v>
      </x:c>
    </x:row>
    <x:row r="292" ht="15" hidden="0" customHeight="1">
      <x:c r="A292" s="9" t="str">
        <x:v>Invoice basis</x:v>
      </x:c>
      <x:c r="B292" s="9" t="str">
        <x:v>1 Feb-31 Jul 2026</x:v>
      </x:c>
      <x:c r="C292" s="10" t="n">
        <x:v>46210</x:v>
      </x:c>
      <x:c r="D292" s="9" t="str">
        <x:v>Purchase</x:v>
      </x:c>
      <x:c r="E292" s="9" t="str">
        <x:v>BNZ + TradePilot match</x:v>
      </x:c>
      <x:c r="F292" s="9" t="str">
        <x:v>OPENAI *CHATGPT SUBS</x:v>
      </x:c>
      <x:c r="G292" s="11" t="n">
        <x:v>41.44</x:v>
      </x:c>
      <x:c r="H292" s="11" t="n">
        <x:v>5.41</x:v>
      </x:c>
      <x:c r="I292" s="9" t="str">
        <x:v>Y</x:v>
      </x:c>
      <x:c r="J292" s="9" t="str">
        <x:v>High</x:v>
      </x:c>
      <x:c r="K292" s="9" t="str">
        <x:v>Bank payment matched to GST-coded TradePilot entry</x:v>
      </x:c>
      <x:c r="L292" s="9" t="str">
        <x:v>Matched business purchase.</x:v>
      </x:c>
      <x:c r="M292" s="9" t="str">
        <x:v>4n5irh</x:v>
      </x:c>
    </x:row>
    <x:row r="293" ht="15" hidden="0" customHeight="1">
      <x:c r="A293" s="9" t="str">
        <x:v>Invoice basis</x:v>
      </x:c>
      <x:c r="B293" s="9" t="str">
        <x:v>1 Feb-31 Jul 2026</x:v>
      </x:c>
      <x:c r="C293" s="10" t="n">
        <x:v>46215</x:v>
      </x:c>
      <x:c r="D293" s="9" t="str">
        <x:v>Purchase</x:v>
      </x:c>
      <x:c r="E293" s="9" t="str">
        <x:v>BNZ + TradePilot match</x:v>
      </x:c>
      <x:c r="F293" s="9" t="str">
        <x:v>MITRE 10 MEGA WANAKA</x:v>
      </x:c>
      <x:c r="G293" s="11" t="n">
        <x:v>69.9</x:v>
      </x:c>
      <x:c r="H293" s="11" t="n">
        <x:v>9.12</x:v>
      </x:c>
      <x:c r="I293" s="9" t="str">
        <x:v>Y</x:v>
      </x:c>
      <x:c r="J293" s="9" t="str">
        <x:v>High</x:v>
      </x:c>
      <x:c r="K293" s="9" t="str">
        <x:v>Bank payment matched to GST-coded TradePilot entry</x:v>
      </x:c>
      <x:c r="L293" s="9" t="str">
        <x:v>Matched business purchase.</x:v>
      </x:c>
      <x:c r="M293" s="9" t="str">
        <x:v>6xpled</x:v>
      </x:c>
    </x:row>
    <x:row r="294" ht="15" hidden="0" customHeight="1">
      <x:c r="A294" s="9" t="str">
        <x:v>Invoice basis</x:v>
      </x:c>
      <x:c r="B294" s="9" t="str">
        <x:v>1 Feb-31 Jul 2026</x:v>
      </x:c>
      <x:c r="C294" s="10" t="n">
        <x:v>46216</x:v>
      </x:c>
      <x:c r="D294" s="9" t="str">
        <x:v>Purchase</x:v>
      </x:c>
      <x:c r="E294" s="9" t="str">
        <x:v>TradePilot unpaid supplier invoice</x:v>
      </x:c>
      <x:c r="F294" s="9" t="str">
        <x:v>Resene Paints Ltd #425300832</x:v>
      </x:c>
      <x:c r="G294" s="11" t="n">
        <x:v>362.25</x:v>
      </x:c>
      <x:c r="H294" s="11" t="n">
        <x:v>47.25</x:v>
      </x:c>
      <x:c r="I294" s="9" t="str">
        <x:v>Y</x:v>
      </x:c>
      <x:c r="J294" s="9" t="str">
        <x:v>Medium</x:v>
      </x:c>
      <x:c r="K294" s="9" t="str">
        <x:v>Supplier invoice details stored in TradePilot</x:v>
      </x:c>
      <x:c r="L294" s="9" t="str">
        <x:v>Invoice basis permits claim before payment if taxable supply information is held.</x:v>
      </x:c>
      <x:c r="M294" s="9" t="str">
        <x:v>Resene Paints Ltd #425300832</x:v>
      </x:c>
    </x:row>
    <x:row r="295" ht="15" hidden="0" customHeight="1">
      <x:c r="A295" s="9" t="str">
        <x:v>Invoice basis</x:v>
      </x:c>
      <x:c r="B295" s="9" t="str">
        <x:v>1 Feb-31 Jul 2026</x:v>
      </x:c>
      <x:c r="C295" s="10" t="n">
        <x:v>46216</x:v>
      </x:c>
      <x:c r="D295" s="9" t="str">
        <x:v>Purchase</x:v>
      </x:c>
      <x:c r="E295" s="9" t="str">
        <x:v>TradePilot unpaid supplier invoice</x:v>
      </x:c>
      <x:c r="F295" s="9" t="str">
        <x:v>Dulux New Zealand #0910038623</x:v>
      </x:c>
      <x:c r="G295" s="11" t="n">
        <x:v>147.62</x:v>
      </x:c>
      <x:c r="H295" s="11" t="n">
        <x:v>19.25</x:v>
      </x:c>
      <x:c r="I295" s="9" t="str">
        <x:v>Y</x:v>
      </x:c>
      <x:c r="J295" s="9" t="str">
        <x:v>Medium</x:v>
      </x:c>
      <x:c r="K295" s="9" t="str">
        <x:v>Supplier invoice details stored in TradePilot</x:v>
      </x:c>
      <x:c r="L295" s="9" t="str">
        <x:v>Invoice basis permits claim before payment if taxable supply information is held.</x:v>
      </x:c>
      <x:c r="M295" s="9" t="str">
        <x:v>Dulux New Zealand #0910038623</x:v>
      </x:c>
    </x:row>
    <x:row r="296" ht="15" hidden="0" customHeight="1">
      <x:c r="A296" s="9" t="str">
        <x:v>Invoice basis</x:v>
      </x:c>
      <x:c r="B296" s="9" t="str">
        <x:v>1 Feb-31 Jul 2026</x:v>
      </x:c>
      <x:c r="C296" s="10" t="n">
        <x:v>46217</x:v>
      </x:c>
      <x:c r="D296" s="9" t="str">
        <x:v>Purchase</x:v>
      </x:c>
      <x:c r="E296" s="9" t="str">
        <x:v>BNZ + TradePilot match</x:v>
      </x:c>
      <x:c r="F296" s="9" t="str">
        <x:v>BP CONNECT WANAKA</x:v>
      </x:c>
      <x:c r="G296" s="11" t="n">
        <x:v>99.96</x:v>
      </x:c>
      <x:c r="H296" s="11" t="n">
        <x:v>13.04</x:v>
      </x:c>
      <x:c r="I296" s="9" t="str">
        <x:v>Y</x:v>
      </x:c>
      <x:c r="J296" s="9" t="str">
        <x:v>High</x:v>
      </x:c>
      <x:c r="K296" s="9" t="str">
        <x:v>Bank payment matched to GST-coded TradePilot entry</x:v>
      </x:c>
      <x:c r="L296" s="9" t="str">
        <x:v>Matched business purchase.</x:v>
      </x:c>
      <x:c r="M296" s="9" t="str">
        <x:v>yiiopa</x:v>
      </x:c>
    </x:row>
    <x:row r="297" ht="15" hidden="0" customHeight="1">
      <x:c r="A297" s="9" t="str">
        <x:v>Invoice basis</x:v>
      </x:c>
      <x:c r="B297" s="9" t="str">
        <x:v>1 Feb-31 Jul 2026</x:v>
      </x:c>
      <x:c r="C297" s="10" t="n">
        <x:v>46217</x:v>
      </x:c>
      <x:c r="D297" s="9" t="str">
        <x:v>Purchase</x:v>
      </x:c>
      <x:c r="E297" s="9" t="str">
        <x:v>BNZ + TradePilot match</x:v>
      </x:c>
      <x:c r="F297" s="9" t="str">
        <x:v>AA INSURANCE</x:v>
      </x:c>
      <x:c r="G297" s="11" t="n">
        <x:v>70.77</x:v>
      </x:c>
      <x:c r="H297" s="11" t="n">
        <x:v>9.23</x:v>
      </x:c>
      <x:c r="I297" s="9" t="str">
        <x:v>Y</x:v>
      </x:c>
      <x:c r="J297" s="9" t="str">
        <x:v>High</x:v>
      </x:c>
      <x:c r="K297" s="9" t="str">
        <x:v>Bank payment matched to GST-coded TradePilot entry</x:v>
      </x:c>
      <x:c r="L297" s="9" t="str">
        <x:v>Matched business purchase.</x:v>
      </x:c>
      <x:c r="M297" s="9" t="str">
        <x:v>pujxmm</x:v>
      </x:c>
    </x:row>
    <x:row r="298" ht="15" hidden="0" customHeight="1">
      <x:c r="A298" s="9" t="str">
        <x:v>Invoice basis</x:v>
      </x:c>
      <x:c r="B298" s="9" t="str">
        <x:v>1 Feb-31 Jul 2026</x:v>
      </x:c>
      <x:c r="C298" s="10" t="n">
        <x:v>46219</x:v>
      </x:c>
      <x:c r="D298" s="9" t="str">
        <x:v>Purchase</x:v>
      </x:c>
      <x:c r="E298" s="9" t="str">
        <x:v>BNZ + TradePilot match</x:v>
      </x:c>
      <x:c r="F298" s="9" t="str">
        <x:v>ONE NZ</x:v>
      </x:c>
      <x:c r="G298" s="11" t="n">
        <x:v>193.73</x:v>
      </x:c>
      <x:c r="H298" s="11" t="n">
        <x:v>25.27</x:v>
      </x:c>
      <x:c r="I298" s="9" t="str">
        <x:v>Y</x:v>
      </x:c>
      <x:c r="J298" s="9" t="str">
        <x:v>High</x:v>
      </x:c>
      <x:c r="K298" s="9" t="str">
        <x:v>Bank payment matched to GST-coded TradePilot entry</x:v>
      </x:c>
      <x:c r="L298" s="9" t="str">
        <x:v>Matched business purchase.</x:v>
      </x:c>
      <x:c r="M298" s="9" t="str">
        <x:v>unfnxv</x:v>
      </x:c>
    </x:row>
    <x:row r="299" ht="15" hidden="0" customHeight="1">
      <x:c r="A299" s="9" t="str">
        <x:v>Invoice basis</x:v>
      </x:c>
      <x:c r="B299" s="9" t="str">
        <x:v>1 Feb-31 Jul 2026</x:v>
      </x:c>
      <x:c r="C299" s="10" t="n">
        <x:v>46219</x:v>
      </x:c>
      <x:c r="D299" s="9" t="str">
        <x:v>Purchase</x:v>
      </x:c>
      <x:c r="E299" s="9" t="str">
        <x:v>TradePilot unpaid supplier invoice</x:v>
      </x:c>
      <x:c r="F299" s="9" t="str">
        <x:v>Dulux New Zealand #0910113487</x:v>
      </x:c>
      <x:c r="G299" s="11" t="n">
        <x:v>24.73</x:v>
      </x:c>
      <x:c r="H299" s="11" t="n">
        <x:v>3.23</x:v>
      </x:c>
      <x:c r="I299" s="9" t="str">
        <x:v>Y</x:v>
      </x:c>
      <x:c r="J299" s="9" t="str">
        <x:v>Medium</x:v>
      </x:c>
      <x:c r="K299" s="9" t="str">
        <x:v>Supplier invoice details stored in TradePilot</x:v>
      </x:c>
      <x:c r="L299" s="9" t="str">
        <x:v>Invoice basis permits claim before payment if taxable supply information is held.</x:v>
      </x:c>
      <x:c r="M299" s="9" t="str">
        <x:v>Dulux New Zealand #0910113487</x:v>
      </x:c>
    </x:row>
    <x:row r="300" ht="15" hidden="0" customHeight="1">
      <x:c r="A300" s="9" t="str">
        <x:v>Invoice basis</x:v>
      </x:c>
      <x:c r="B300" s="9" t="str">
        <x:v>1 Feb-31 Jul 2026</x:v>
      </x:c>
      <x:c r="C300" s="10" t="n">
        <x:v>46219</x:v>
      </x:c>
      <x:c r="D300" s="9" t="str">
        <x:v>Purchase</x:v>
      </x:c>
      <x:c r="E300" s="9" t="str">
        <x:v>TradePilot unpaid supplier invoice</x:v>
      </x:c>
      <x:c r="F300" s="9" t="str">
        <x:v>Resene Paints Ltd #425310813</x:v>
      </x:c>
      <x:c r="G300" s="11" t="n">
        <x:v>148.26</x:v>
      </x:c>
      <x:c r="H300" s="11" t="n">
        <x:v>19.34</x:v>
      </x:c>
      <x:c r="I300" s="9" t="str">
        <x:v>Y</x:v>
      </x:c>
      <x:c r="J300" s="9" t="str">
        <x:v>Medium</x:v>
      </x:c>
      <x:c r="K300" s="9" t="str">
        <x:v>Supplier invoice details stored in TradePilot</x:v>
      </x:c>
      <x:c r="L300" s="9" t="str">
        <x:v>Invoice basis permits claim before payment if taxable supply information is held.</x:v>
      </x:c>
      <x:c r="M300" s="9" t="str">
        <x:v>Resene Paints Ltd #425310813</x:v>
      </x:c>
    </x:row>
    <x:row r="301" ht="15" hidden="0" customHeight="1">
      <x:c r="A301" s="9" t="str">
        <x:v>Invoice basis</x:v>
      </x:c>
      <x:c r="B301" s="9" t="str">
        <x:v>1 Feb-31 Jul 2026</x:v>
      </x:c>
      <x:c r="C301" s="10" t="n">
        <x:v>46220</x:v>
      </x:c>
      <x:c r="D301" s="9" t="str">
        <x:v>Sale</x:v>
      </x:c>
      <x:c r="E301" s="9" t="str">
        <x:v>TradePilot invoice</x:v>
      </x:c>
      <x:c r="F301" s="9" t="str">
        <x:v>INV-J20-F · final</x:v>
      </x:c>
      <x:c r="G301" s="11" t="n">
        <x:v>2777.25</x:v>
      </x:c>
      <x:c r="H301" s="11" t="n">
        <x:v>362.25</x:v>
      </x:c>
      <x:c r="I301" s="9" t="str">
        <x:v>Y</x:v>
      </x:c>
      <x:c r="J301" s="9" t="str">
        <x:v>Medium</x:v>
      </x:c>
      <x:c r="K301" s="9" t="str">
        <x:v>TradePilot invoice record</x:v>
      </x:c>
      <x:c r="L301" s="9" t="str">
        <x:v>Invoice record used; payment date is earlier where applicable.</x:v>
      </x:c>
      <x:c r="M301" s="9" t="str">
        <x:v>INV-J20-F</x:v>
      </x:c>
    </x:row>
    <x:row r="302" ht="15" hidden="0" customHeight="1">
      <x:c r="A302" s="9" t="str">
        <x:v>Invoice basis</x:v>
      </x:c>
      <x:c r="B302" s="9" t="str">
        <x:v>1 Feb-31 Jul 2026</x:v>
      </x:c>
      <x:c r="C302" s="10" t="n">
        <x:v>46223</x:v>
      </x:c>
      <x:c r="D302" s="9" t="str">
        <x:v>Purchase</x:v>
      </x:c>
      <x:c r="E302" s="9" t="str">
        <x:v>BNZ + TradePilot match</x:v>
      </x:c>
      <x:c r="F302" s="9" t="str">
        <x:v>Caroline Wigg</x:v>
      </x:c>
      <x:c r="G302" s="11" t="n">
        <x:v>138</x:v>
      </x:c>
      <x:c r="H302" s="11" t="n">
        <x:v>18</x:v>
      </x:c>
      <x:c r="I302" s="9" t="str">
        <x:v>Y</x:v>
      </x:c>
      <x:c r="J302" s="9" t="str">
        <x:v>High</x:v>
      </x:c>
      <x:c r="K302" s="9" t="str">
        <x:v>Bank payment matched to GST-coded TradePilot entry</x:v>
      </x:c>
      <x:c r="L302" s="9" t="str">
        <x:v>Matched business purchase.</x:v>
      </x:c>
      <x:c r="M302" s="9" t="str">
        <x:v>t4e8cs</x:v>
      </x:c>
    </x:row>
    <x:row r="303" ht="15" hidden="0" customHeight="1">
      <x:c r="A303" s="9" t="str">
        <x:v>Invoice basis</x:v>
      </x:c>
      <x:c r="B303" s="9" t="str">
        <x:v>1 Feb-31 Jul 2026</x:v>
      </x:c>
      <x:c r="C303" s="10" t="n">
        <x:v>46223</x:v>
      </x:c>
      <x:c r="D303" s="9" t="str">
        <x:v>Purchase</x:v>
      </x:c>
      <x:c r="E303" s="9" t="str">
        <x:v>BNZ + TradePilot match</x:v>
      </x:c>
      <x:c r="F303" s="9" t="str">
        <x:v>WWW.TRADEMAX.CO.NZ</x:v>
      </x:c>
      <x:c r="G303" s="11" t="n">
        <x:v>347.9</x:v>
      </x:c>
      <x:c r="H303" s="11" t="n">
        <x:v>45.38</x:v>
      </x:c>
      <x:c r="I303" s="9" t="str">
        <x:v>Y</x:v>
      </x:c>
      <x:c r="J303" s="9" t="str">
        <x:v>High</x:v>
      </x:c>
      <x:c r="K303" s="9" t="str">
        <x:v>Bank payment matched to GST-coded TradePilot entry</x:v>
      </x:c>
      <x:c r="L303" s="9" t="str">
        <x:v>Matched business purchase.</x:v>
      </x:c>
      <x:c r="M303" s="9" t="str">
        <x:v>qrf08f</x:v>
      </x:c>
    </x:row>
    <x:row r="304" ht="15" hidden="0" customHeight="1">
      <x:c r="A304" s="9" t="str">
        <x:v>Invoice basis</x:v>
      </x:c>
      <x:c r="B304" s="9" t="str">
        <x:v>1 Feb-31 Jul 2026</x:v>
      </x:c>
      <x:c r="C304" s="10" t="n">
        <x:v>46223</x:v>
      </x:c>
      <x:c r="D304" s="9" t="str">
        <x:v>Purchase</x:v>
      </x:c>
      <x:c r="E304" s="9" t="str">
        <x:v>BNZ + TradePilot match</x:v>
      </x:c>
      <x:c r="F304" s="9" t="str">
        <x:v>Dulux</x:v>
      </x:c>
      <x:c r="G304" s="11" t="n">
        <x:v>498.52</x:v>
      </x:c>
      <x:c r="H304" s="11" t="n">
        <x:v>65.02</x:v>
      </x:c>
      <x:c r="I304" s="9" t="str">
        <x:v>Y</x:v>
      </x:c>
      <x:c r="J304" s="9" t="str">
        <x:v>High</x:v>
      </x:c>
      <x:c r="K304" s="9" t="str">
        <x:v>Bank payment matched to GST-coded TradePilot entry</x:v>
      </x:c>
      <x:c r="L304" s="9" t="str">
        <x:v>Matched business purchase.</x:v>
      </x:c>
      <x:c r="M304" s="9" t="str">
        <x:v>nnw3wb</x:v>
      </x:c>
    </x:row>
    <x:row r="305" ht="15" hidden="0" customHeight="1">
      <x:c r="A305" s="9" t="str">
        <x:v>Invoice basis</x:v>
      </x:c>
      <x:c r="B305" s="9" t="str">
        <x:v>1 Feb-31 Jul 2026</x:v>
      </x:c>
      <x:c r="C305" s="10" t="n">
        <x:v>46223</x:v>
      </x:c>
      <x:c r="D305" s="9" t="str">
        <x:v>Purchase</x:v>
      </x:c>
      <x:c r="E305" s="9" t="str">
        <x:v>TradePilot supplier bill</x:v>
      </x:c>
      <x:c r="F305" s="9" t="str">
        <x:v>Resene Paints Ltd #424763500</x:v>
      </x:c>
      <x:c r="G305" s="11" t="n">
        <x:v>117.4</x:v>
      </x:c>
      <x:c r="H305" s="11" t="n">
        <x:v>15.31</x:v>
      </x:c>
      <x:c r="I305" s="9" t="str">
        <x:v>Y</x:v>
      </x:c>
      <x:c r="J305" s="9" t="str">
        <x:v>Review</x:v>
      </x:c>
      <x:c r="K305" s="9" t="str">
        <x:v>Supplier bill marked paid; no matching debit in supplied BNZ account</x:v>
      </x:c>
      <x:c r="L305" s="9" t="str">
        <x:v>Included provisionally; confirm paid from another account or supplier credit.</x:v>
      </x:c>
      <x:c r="M305" s="9" t="str">
        <x:v>Resene Paints Ltd #424763500</x:v>
      </x:c>
    </x:row>
    <x:row r="306" ht="15" hidden="0" customHeight="1">
      <x:c r="A306" s="9" t="str">
        <x:v>Invoice basis</x:v>
      </x:c>
      <x:c r="B306" s="9" t="str">
        <x:v>1 Feb-31 Jul 2026</x:v>
      </x:c>
      <x:c r="C306" s="10" t="n">
        <x:v>46223</x:v>
      </x:c>
      <x:c r="D306" s="9" t="str">
        <x:v>Purchase</x:v>
      </x:c>
      <x:c r="E306" s="9" t="str">
        <x:v>TradePilot supplier bill</x:v>
      </x:c>
      <x:c r="F306" s="9" t="str">
        <x:v>Resene Paints Ltd #424769024</x:v>
      </x:c>
      <x:c r="G306" s="11" t="n">
        <x:v>265.66</x:v>
      </x:c>
      <x:c r="H306" s="11" t="n">
        <x:v>34.65</x:v>
      </x:c>
      <x:c r="I306" s="9" t="str">
        <x:v>Y</x:v>
      </x:c>
      <x:c r="J306" s="9" t="str">
        <x:v>Review</x:v>
      </x:c>
      <x:c r="K306" s="9" t="str">
        <x:v>Supplier bill marked paid; no matching debit in supplied BNZ account</x:v>
      </x:c>
      <x:c r="L306" s="9" t="str">
        <x:v>Included provisionally; confirm paid from another account or supplier credit.</x:v>
      </x:c>
      <x:c r="M306" s="9" t="str">
        <x:v>Resene Paints Ltd #424769024</x:v>
      </x:c>
    </x:row>
    <x:row r="307" ht="15" hidden="0" customHeight="1">
      <x:c r="A307" s="9" t="str">
        <x:v>Invoice basis</x:v>
      </x:c>
      <x:c r="B307" s="9" t="str">
        <x:v>1 Feb-31 Jul 2026</x:v>
      </x:c>
      <x:c r="C307" s="10" t="n">
        <x:v>46223</x:v>
      </x:c>
      <x:c r="D307" s="9" t="str">
        <x:v>Purchase</x:v>
      </x:c>
      <x:c r="E307" s="9" t="str">
        <x:v>TradePilot supplier bill</x:v>
      </x:c>
      <x:c r="F307" s="9" t="str">
        <x:v>Resene Paints Ltd #424771838</x:v>
      </x:c>
      <x:c r="G307" s="11" t="n">
        <x:v>106.97</x:v>
      </x:c>
      <x:c r="H307" s="11" t="n">
        <x:v>13.95</x:v>
      </x:c>
      <x:c r="I307" s="9" t="str">
        <x:v>Y</x:v>
      </x:c>
      <x:c r="J307" s="9" t="str">
        <x:v>Review</x:v>
      </x:c>
      <x:c r="K307" s="9" t="str">
        <x:v>Supplier bill marked paid; no matching debit in supplied BNZ account</x:v>
      </x:c>
      <x:c r="L307" s="9" t="str">
        <x:v>Included provisionally; confirm paid from another account or supplier credit.</x:v>
      </x:c>
      <x:c r="M307" s="9" t="str">
        <x:v>Resene Paints Ltd #424771838</x:v>
      </x:c>
    </x:row>
    <x:row r="308" ht="15" hidden="0" customHeight="1">
      <x:c r="A308" s="9" t="str">
        <x:v>Invoice basis</x:v>
      </x:c>
      <x:c r="B308" s="9" t="str">
        <x:v>1 Feb-31 Jul 2026</x:v>
      </x:c>
      <x:c r="C308" s="10" t="n">
        <x:v>46223</x:v>
      </x:c>
      <x:c r="D308" s="9" t="str">
        <x:v>Purchase</x:v>
      </x:c>
      <x:c r="E308" s="9" t="str">
        <x:v>TradePilot unpaid supplier invoice</x:v>
      </x:c>
      <x:c r="F308" s="9" t="str">
        <x:v>Rank Higher Ltd #425319907</x:v>
      </x:c>
      <x:c r="G308" s="11" t="n">
        <x:v>209.44</x:v>
      </x:c>
      <x:c r="H308" s="11" t="n">
        <x:v>27.32</x:v>
      </x:c>
      <x:c r="I308" s="9" t="str">
        <x:v>Y</x:v>
      </x:c>
      <x:c r="J308" s="9" t="str">
        <x:v>Medium</x:v>
      </x:c>
      <x:c r="K308" s="9" t="str">
        <x:v>Supplier invoice details stored in TradePilot</x:v>
      </x:c>
      <x:c r="L308" s="9" t="str">
        <x:v>Invoice basis permits claim before payment if taxable supply information is held.</x:v>
      </x:c>
      <x:c r="M308" s="9" t="str">
        <x:v>Rank Higher Ltd #425319907</x:v>
      </x:c>
    </x:row>
    <x:row r="309" ht="15" hidden="0" customHeight="1">
      <x:c r="A309" s="9" t="str">
        <x:v>Invoice basis</x:v>
      </x:c>
      <x:c r="B309" s="9" t="str">
        <x:v>1 Feb-31 Jul 2026</x:v>
      </x:c>
      <x:c r="C309" s="10" t="n">
        <x:v>46225</x:v>
      </x:c>
      <x:c r="D309" s="9" t="str">
        <x:v>Purchase</x:v>
      </x:c>
      <x:c r="E309" s="9" t="str">
        <x:v>BNZ + TradePilot match</x:v>
      </x:c>
      <x:c r="F309" s="9" t="str">
        <x:v>SUSANA ECHEVERRI</x:v>
      </x:c>
      <x:c r="G309" s="11" t="n">
        <x:v>1455.12</x:v>
      </x:c>
      <x:c r="H309" s="11" t="n">
        <x:v>189.8</x:v>
      </x:c>
      <x:c r="I309" s="9" t="str">
        <x:v>Y</x:v>
      </x:c>
      <x:c r="J309" s="9" t="str">
        <x:v>High</x:v>
      </x:c>
      <x:c r="K309" s="9" t="str">
        <x:v>Bank payment matched to GST-coded TradePilot entry</x:v>
      </x:c>
      <x:c r="L309" s="9" t="str">
        <x:v>Matched business purchase.</x:v>
      </x:c>
      <x:c r="M309" s="9" t="str">
        <x:v>q37uop</x:v>
      </x:c>
    </x:row>
    <x:row r="310" ht="15" hidden="0" customHeight="1">
      <x:c r="A310" s="9" t="str">
        <x:v>Invoice basis</x:v>
      </x:c>
      <x:c r="B310" s="9" t="str">
        <x:v>1 Feb-31 Jul 2026</x:v>
      </x:c>
      <x:c r="C310" s="10" t="n">
        <x:v>46227</x:v>
      </x:c>
      <x:c r="D310" s="9" t="str">
        <x:v>Purchase</x:v>
      </x:c>
      <x:c r="E310" s="9" t="str">
        <x:v>BNZ + TradePilot match</x:v>
      </x:c>
      <x:c r="F310" s="9" t="str">
        <x:v>BP CONNECT WANAKA</x:v>
      </x:c>
      <x:c r="G310" s="11" t="n">
        <x:v>99.78</x:v>
      </x:c>
      <x:c r="H310" s="11" t="n">
        <x:v>13.01</x:v>
      </x:c>
      <x:c r="I310" s="9" t="str">
        <x:v>Y</x:v>
      </x:c>
      <x:c r="J310" s="9" t="str">
        <x:v>High</x:v>
      </x:c>
      <x:c r="K310" s="9" t="str">
        <x:v>Bank payment matched to GST-coded TradePilot entry</x:v>
      </x:c>
      <x:c r="L310" s="9" t="str">
        <x:v>Matched business purchase.</x:v>
      </x:c>
      <x:c r="M310" s="9" t="str">
        <x:v>kkdvpy</x:v>
      </x:c>
    </x:row>
    <x:row r="311" ht="15" hidden="0" customHeight="1">
      <x:c r="A311" s="9" t="str">
        <x:v>Invoice basis</x:v>
      </x:c>
      <x:c r="B311" s="9" t="str">
        <x:v>1 Feb-31 Jul 2026</x:v>
      </x:c>
      <x:c r="C311" s="10" t="n">
        <x:v>46230</x:v>
      </x:c>
      <x:c r="D311" s="9" t="str">
        <x:v>Sale</x:v>
      </x:c>
      <x:c r="E311" s="9" t="str">
        <x:v>BNZ + TradePilot match</x:v>
      </x:c>
      <x:c r="F311" s="9" t="str">
        <x:v>The NN Trust · Foreman · inv Q052 D</x:v>
      </x:c>
      <x:c r="G311" s="11" t="n">
        <x:v>518.36</x:v>
      </x:c>
      <x:c r="H311" s="11" t="n">
        <x:v>67.61</x:v>
      </x:c>
      <x:c r="I311" s="9" t="str">
        <x:v>Y</x:v>
      </x:c>
      <x:c r="J311" s="9" t="str">
        <x:v>High</x:v>
      </x:c>
      <x:c r="K311" s="9" t="str">
        <x:v>Customer payment; payment triggers invoice-basis time of supply</x:v>
      </x:c>
      <x:c r="L311" s="9" t="str">
        <x:v>No separate TradePilot invoice found.</x:v>
      </x:c>
      <x:c r="M311" s="9" t="str">
        <x:v>f5plvm</x:v>
      </x:c>
    </x:row>
    <x:row r="312" ht="15" hidden="0" customHeight="1">
      <x:c r="A312" s="9" t="str">
        <x:v>Invoice basis</x:v>
      </x:c>
      <x:c r="B312" s="9" t="str">
        <x:v>1 Feb-31 Jul 2026</x:v>
      </x:c>
      <x:c r="C312" s="10" t="n">
        <x:v>46231</x:v>
      </x:c>
      <x:c r="D312" s="9" t="str">
        <x:v>Purchase</x:v>
      </x:c>
      <x:c r="E312" s="9" t="str">
        <x:v>BNZ + TradePilot match</x:v>
      </x:c>
      <x:c r="F312" s="9" t="str">
        <x:v>PAPER PLUS WANAKA</x:v>
      </x:c>
      <x:c r="G312" s="11" t="n">
        <x:v>46.95</x:v>
      </x:c>
      <x:c r="H312" s="11" t="n">
        <x:v>6.12</x:v>
      </x:c>
      <x:c r="I312" s="9" t="str">
        <x:v>Y</x:v>
      </x:c>
      <x:c r="J312" s="9" t="str">
        <x:v>High</x:v>
      </x:c>
      <x:c r="K312" s="9" t="str">
        <x:v>Bank payment matched to GST-coded TradePilot entry</x:v>
      </x:c>
      <x:c r="L312" s="9" t="str">
        <x:v>Matched business purchase.</x:v>
      </x:c>
      <x:c r="M312" s="9" t="str">
        <x:v>38lex6</x:v>
      </x:c>
    </x:row>
    <x:row r="313" ht="15" hidden="0" customHeight="1">
      <x:c r="A313" s="9" t="str">
        <x:v>Invoice basis</x:v>
      </x:c>
      <x:c r="B313" s="9" t="str">
        <x:v>1 Feb-31 Jul 2026</x:v>
      </x:c>
      <x:c r="C313" s="10" t="n">
        <x:v>46233</x:v>
      </x:c>
      <x:c r="D313" s="9" t="str">
        <x:v>Purchase</x:v>
      </x:c>
      <x:c r="E313" s="9" t="str">
        <x:v>BNZ + TradePilot match</x:v>
      </x:c>
      <x:c r="F313" s="9" t="str">
        <x:v>ANTHROPIC* CLAUDE SU</x:v>
      </x:c>
      <x:c r="G313" s="11" t="n">
        <x:v>200</x:v>
      </x:c>
      <x:c r="H313" s="11" t="n">
        <x:v>26.09</x:v>
      </x:c>
      <x:c r="I313" s="9" t="str">
        <x:v>Y</x:v>
      </x:c>
      <x:c r="J313" s="9" t="str">
        <x:v>High</x:v>
      </x:c>
      <x:c r="K313" s="9" t="str">
        <x:v>Bank payment matched to GST-coded TradePilot entry</x:v>
      </x:c>
      <x:c r="L313" s="9" t="str">
        <x:v>Matched business purchase.</x:v>
      </x:c>
      <x:c r="M313" s="9" t="str">
        <x:v>l7m7te</x:v>
      </x:c>
    </x:row>
    <x:row r="314" ht="15" hidden="0" customHeight="1">
      <x:c r="A314" s="9" t="str">
        <x:v>Invoice basis</x:v>
      </x:c>
      <x:c r="B314" s="9" t="str">
        <x:v>1 Feb-31 Jul 2026</x:v>
      </x:c>
      <x:c r="C314" s="10" t="n">
        <x:v>46233</x:v>
      </x:c>
      <x:c r="D314" s="9" t="str">
        <x:v>Purchase</x:v>
      </x:c>
      <x:c r="E314" s="9" t="str">
        <x:v>BNZ + TradePilot match</x:v>
      </x:c>
      <x:c r="F314" s="9" t="str">
        <x:v>NOEL LEEMING 3X WANA</x:v>
      </x:c>
      <x:c r="G314" s="11" t="n">
        <x:v>16.99</x:v>
      </x:c>
      <x:c r="H314" s="11" t="n">
        <x:v>2.22</x:v>
      </x:c>
      <x:c r="I314" s="9" t="str">
        <x:v>Y</x:v>
      </x:c>
      <x:c r="J314" s="9" t="str">
        <x:v>High</x:v>
      </x:c>
      <x:c r="K314" s="9" t="str">
        <x:v>Bank payment matched to GST-coded TradePilot entry</x:v>
      </x:c>
      <x:c r="L314" s="9" t="str">
        <x:v>Matched business purchase.</x:v>
      </x:c>
      <x:c r="M314" s="9" t="str">
        <x:v>or1vdn</x:v>
      </x:c>
    </x:row>
    <x:row r="315" ht="15" hidden="0" customHeight="1">
      <x:c r="A315" s="9" t="str">
        <x:v>Invoice basis</x:v>
      </x:c>
      <x:c r="B315" s="9" t="str">
        <x:v>1 Feb-31 Jul 2026</x:v>
      </x:c>
      <x:c r="C315" s="10" t="n">
        <x:v>46233</x:v>
      </x:c>
      <x:c r="D315" s="9" t="str">
        <x:v>Purchase</x:v>
      </x:c>
      <x:c r="E315" s="9" t="str">
        <x:v>BNZ + TradePilot match</x:v>
      </x:c>
      <x:c r="F315" s="9" t="str">
        <x:v>GODADDY*#4149821829</x:v>
      </x:c>
      <x:c r="G315" s="11" t="n">
        <x:v>45.99</x:v>
      </x:c>
      <x:c r="H315" s="11" t="n">
        <x:v>6</x:v>
      </x:c>
      <x:c r="I315" s="9" t="str">
        <x:v>Y</x:v>
      </x:c>
      <x:c r="J315" s="9" t="str">
        <x:v>High</x:v>
      </x:c>
      <x:c r="K315" s="9" t="str">
        <x:v>Bank payment matched to GST-coded TradePilot entry</x:v>
      </x:c>
      <x:c r="L315" s="9" t="str">
        <x:v>Matched business purchase.</x:v>
      </x:c>
      <x:c r="M315" s="9" t="str">
        <x:v>7asofm</x:v>
      </x:c>
    </x:row>
    <x:row r="316" ht="15" hidden="0" customHeight="1">
      <x:c r="A316" s="9" t="str">
        <x:v>Payments basis</x:v>
      </x:c>
      <x:c r="B316" s="9" t="str">
        <x:v>19-31 Jan 2026</x:v>
      </x:c>
      <x:c r="C316" s="10" t="n">
        <x:v>46040.958333333336</x:v>
      </x:c>
      <x:c r="D316" s="9" t="str">
        <x:v>Purchase</x:v>
      </x:c>
      <x:c r="E316" s="9" t="str">
        <x:v>BNZ bank (pre-import)</x:v>
      </x:c>
      <x:c r="F316" s="9" t="str">
        <x:v>THE WAREHOUSE 212 WA · 6032 · 434667191312</x:v>
      </x:c>
      <x:c r="G316" s="11" t="n">
        <x:v>89</x:v>
      </x:c>
      <x:c r="H316" s="11" t="n">
        <x:v>11.61</x:v>
      </x:c>
      <x:c r="I316" s="9" t="str">
        <x:v>Y</x:v>
      </x:c>
      <x:c r="J316" s="9" t="str">
        <x:v>Medium</x:v>
      </x:c>
      <x:c r="K316" s="9" t="str">
        <x:v>Bank + TradePilot materials/tool notes</x:v>
      </x:c>
      <x:c r="L316" s="9" t="str">
        <x:v>Warehouse purchase treated as job materials/tools; retain the TradePilot description.</x:v>
      </x:c>
      <x:c r="M316" s="9" t="str">
        <x:v>hrxxvv</x:v>
      </x:c>
    </x:row>
    <x:row r="317" ht="15" hidden="0" customHeight="1">
      <x:c r="A317" s="9" t="str">
        <x:v>Payments basis</x:v>
      </x:c>
      <x:c r="B317" s="9" t="str">
        <x:v>19-31 Jan 2026</x:v>
      </x:c>
      <x:c r="C317" s="10" t="n">
        <x:v>46040.958333333336</x:v>
      </x:c>
      <x:c r="D317" s="9" t="str">
        <x:v>Purchase</x:v>
      </x:c>
      <x:c r="E317" s="9" t="str">
        <x:v>BNZ bank (pre-import)</x:v>
      </x:c>
      <x:c r="F317" s="9" t="str">
        <x:v>New World Three Park · 6032 · 420549191207</x:v>
      </x:c>
      <x:c r="G317" s="11" t="n">
        <x:v>53.94</x:v>
      </x:c>
      <x:c r="H317" s="11" t="n">
        <x:v>0</x:v>
      </x:c>
      <x:c r="I317" s="9" t="str">
        <x:v>N</x:v>
      </x:c>
      <x:c r="J317" s="9" t="str">
        <x:v>High</x:v>
      </x:c>
      <x:c r="K317" s="9" t="str">
        <x:v>Bank description</x:v>
      </x:c>
      <x:c r="L317" s="9" t="str">
        <x:v>Personal, transfer, tax, cash withdrawal, food or entertainment; no GST claim.</x:v>
      </x:c>
      <x:c r="M317" s="9" t="str">
        <x:v>7swp19</x:v>
      </x:c>
    </x:row>
    <x:row r="318" ht="15" hidden="0" customHeight="1">
      <x:c r="A318" s="9" t="str">
        <x:v>Payments basis</x:v>
      </x:c>
      <x:c r="B318" s="9" t="str">
        <x:v>19-31 Jan 2026</x:v>
      </x:c>
      <x:c r="C318" s="10" t="n">
        <x:v>46040.958333333336</x:v>
      </x:c>
      <x:c r="D318" s="9" t="str">
        <x:v>Purchase</x:v>
      </x:c>
      <x:c r="E318" s="9" t="str">
        <x:v>BNZ bank (pre-import)</x:v>
      </x:c>
      <x:c r="F318" s="9" t="str">
        <x:v>Resene - Wanaka 087 · 6032 · 420549191519</x:v>
      </x:c>
      <x:c r="G318" s="11" t="n">
        <x:v>203.2</x:v>
      </x:c>
      <x:c r="H318" s="11" t="n">
        <x:v>26.5</x:v>
      </x:c>
      <x:c r="I318" s="9" t="str">
        <x:v>Y</x:v>
      </x:c>
      <x:c r="J318" s="9" t="str">
        <x:v>High</x:v>
      </x:c>
      <x:c r="K318" s="9" t="str">
        <x:v>Bank + TradePilot</x:v>
      </x:c>
      <x:c r="L318" s="9" t="str">
        <x:v>Business purchase.</x:v>
      </x:c>
      <x:c r="M318" s="9" t="str">
        <x:v>q4as50</x:v>
      </x:c>
    </x:row>
    <x:row r="319" ht="15" hidden="0" customHeight="1">
      <x:c r="A319" s="9" t="str">
        <x:v>Payments basis</x:v>
      </x:c>
      <x:c r="B319" s="9" t="str">
        <x:v>19-31 Jan 2026</x:v>
      </x:c>
      <x:c r="C319" s="10" t="n">
        <x:v>46040.958333333336</x:v>
      </x:c>
      <x:c r="D319" s="9" t="str">
        <x:v>Purchase</x:v>
      </x:c>
      <x:c r="E319" s="9" t="str">
        <x:v>BNZ bank (pre-import)</x:v>
      </x:c>
      <x:c r="F319" s="9" t="str">
        <x:v>BENONI CAFE · 6032 · 437733131624</x:v>
      </x:c>
      <x:c r="G319" s="11" t="n">
        <x:v>13.05</x:v>
      </x:c>
      <x:c r="H319" s="11" t="n">
        <x:v>0</x:v>
      </x:c>
      <x:c r="I319" s="9" t="str">
        <x:v>N</x:v>
      </x:c>
      <x:c r="J319" s="9" t="str">
        <x:v>High</x:v>
      </x:c>
      <x:c r="K319" s="9" t="str">
        <x:v>Bank description</x:v>
      </x:c>
      <x:c r="L319" s="9" t="str">
        <x:v>Personal, transfer, tax, cash withdrawal, food or entertainment; no GST claim.</x:v>
      </x:c>
      <x:c r="M319" s="9" t="str">
        <x:v>njj8sp</x:v>
      </x:c>
    </x:row>
    <x:row r="320" ht="15" hidden="0" customHeight="1">
      <x:c r="A320" s="9" t="str">
        <x:v>Payments basis</x:v>
      </x:c>
      <x:c r="B320" s="9" t="str">
        <x:v>19-31 Jan 2026</x:v>
      </x:c>
      <x:c r="C320" s="10" t="n">
        <x:v>46040.958333333336</x:v>
      </x:c>
      <x:c r="D320" s="9" t="str">
        <x:v>Purchase</x:v>
      </x:c>
      <x:c r="E320" s="9" t="str">
        <x:v>BNZ bank (pre-import)</x:v>
      </x:c>
      <x:c r="F320" s="9" t="str">
        <x:v>THE WAREHOUSE 212 WA · 6032 · 434667191240</x:v>
      </x:c>
      <x:c r="G320" s="11" t="n">
        <x:v>10</x:v>
      </x:c>
      <x:c r="H320" s="11" t="n">
        <x:v>1.3</x:v>
      </x:c>
      <x:c r="I320" s="9" t="str">
        <x:v>Y</x:v>
      </x:c>
      <x:c r="J320" s="9" t="str">
        <x:v>Medium</x:v>
      </x:c>
      <x:c r="K320" s="9" t="str">
        <x:v>Bank + TradePilot materials/tool notes</x:v>
      </x:c>
      <x:c r="L320" s="9" t="str">
        <x:v>Warehouse purchase treated as job materials/tools; retain the TradePilot description.</x:v>
      </x:c>
      <x:c r="M320" s="9" t="str">
        <x:v>k119mj</x:v>
      </x:c>
    </x:row>
    <x:row r="321" ht="15" hidden="0" customHeight="1">
      <x:c r="A321" s="9" t="str">
        <x:v>Payments basis</x:v>
      </x:c>
      <x:c r="B321" s="9" t="str">
        <x:v>19-31 Jan 2026</x:v>
      </x:c>
      <x:c r="C321" s="10" t="n">
        <x:v>46040.958333333336</x:v>
      </x:c>
      <x:c r="D321" s="9" t="str">
        <x:v>Purchase</x:v>
      </x:c>
      <x:c r="E321" s="9" t="str">
        <x:v>BNZ bank (pre-import)</x:v>
      </x:c>
      <x:c r="F321" s="9" t="str">
        <x:v>THE WAREHOUSE 212 WA · 6032 · 434667191241</x:v>
      </x:c>
      <x:c r="G321" s="11" t="n">
        <x:v>24</x:v>
      </x:c>
      <x:c r="H321" s="11" t="n">
        <x:v>3.13</x:v>
      </x:c>
      <x:c r="I321" s="9" t="str">
        <x:v>Y</x:v>
      </x:c>
      <x:c r="J321" s="9" t="str">
        <x:v>Medium</x:v>
      </x:c>
      <x:c r="K321" s="9" t="str">
        <x:v>Bank + TradePilot materials/tool notes</x:v>
      </x:c>
      <x:c r="L321" s="9" t="str">
        <x:v>Warehouse purchase treated as job materials/tools; retain the TradePilot description.</x:v>
      </x:c>
      <x:c r="M321" s="9" t="str">
        <x:v>ntp4yp</x:v>
      </x:c>
    </x:row>
    <x:row r="322" ht="15" hidden="0" customHeight="1">
      <x:c r="A322" s="9" t="str">
        <x:v>Payments basis</x:v>
      </x:c>
      <x:c r="B322" s="9" t="str">
        <x:v>19-31 Jan 2026</x:v>
      </x:c>
      <x:c r="C322" s="10" t="n">
        <x:v>46040.958333333336</x:v>
      </x:c>
      <x:c r="D322" s="9" t="str">
        <x:v>Sale</x:v>
      </x:c>
      <x:c r="E322" s="9" t="str">
        <x:v>BNZ bank</x:v>
      </x:c>
      <x:c r="F322" s="9" t="str">
        <x:v>CHIRNSIDE C T · Inv Numb</x:v>
      </x:c>
      <x:c r="G322" s="11" t="n">
        <x:v>637.1</x:v>
      </x:c>
      <x:c r="H322" s="11" t="n">
        <x:v>83.1</x:v>
      </x:c>
      <x:c r="I322" s="9" t="str">
        <x:v>Y</x:v>
      </x:c>
      <x:c r="J322" s="9" t="str">
        <x:v>High</x:v>
      </x:c>
      <x:c r="K322" s="9" t="str">
        <x:v>Bank receipt + TradePilot job/income record</x:v>
      </x:c>
      <x:c r="L322" s="9" t="str">
        <x:v>Customer receipt; exact bank amount used.</x:v>
      </x:c>
      <x:c r="M322" s="9" t="str">
        <x:v>skvcrm</x:v>
      </x:c>
    </x:row>
    <x:row r="323" ht="15" hidden="0" customHeight="1">
      <x:c r="A323" s="9" t="str">
        <x:v>Payments basis</x:v>
      </x:c>
      <x:c r="B323" s="9" t="str">
        <x:v>19-31 Jan 2026</x:v>
      </x:c>
      <x:c r="C323" s="10" t="n">
        <x:v>46041.958333333336</x:v>
      </x:c>
      <x:c r="D323" s="9" t="str">
        <x:v>Purchase</x:v>
      </x:c>
      <x:c r="E323" s="9" t="str">
        <x:v>BNZ bank (pre-import)</x:v>
      </x:c>
      <x:c r="F323" s="9" t="str">
        <x:v>MITRE 10 MEGA WANAKA · 6032 · 434667201326</x:v>
      </x:c>
      <x:c r="G323" s="11" t="n">
        <x:v>196.98</x:v>
      </x:c>
      <x:c r="H323" s="11" t="n">
        <x:v>25.69</x:v>
      </x:c>
      <x:c r="I323" s="9" t="str">
        <x:v>Y</x:v>
      </x:c>
      <x:c r="J323" s="9" t="str">
        <x:v>High</x:v>
      </x:c>
      <x:c r="K323" s="9" t="str">
        <x:v>Bank + TradePilot</x:v>
      </x:c>
      <x:c r="L323" s="9" t="str">
        <x:v>Business purchase.</x:v>
      </x:c>
      <x:c r="M323" s="9" t="str">
        <x:v>m04pn2</x:v>
      </x:c>
    </x:row>
    <x:row r="324" ht="15" hidden="0" customHeight="1">
      <x:c r="A324" s="9" t="str">
        <x:v>Payments basis</x:v>
      </x:c>
      <x:c r="B324" s="9" t="str">
        <x:v>19-31 Jan 2026</x:v>
      </x:c>
      <x:c r="C324" s="10" t="n">
        <x:v>46041.958333333336</x:v>
      </x:c>
      <x:c r="D324" s="9" t="str">
        <x:v>Purchase</x:v>
      </x:c>
      <x:c r="E324" s="9" t="str">
        <x:v>BNZ bank (pre-import)</x:v>
      </x:c>
      <x:c r="F324" s="9" t="str">
        <x:v>COLUMBUSCOFFEEWANAKA · 6032 · 434667201329</x:v>
      </x:c>
      <x:c r="G324" s="11" t="n">
        <x:v>10.2</x:v>
      </x:c>
      <x:c r="H324" s="11" t="n">
        <x:v>0</x:v>
      </x:c>
      <x:c r="I324" s="9" t="str">
        <x:v>N</x:v>
      </x:c>
      <x:c r="J324" s="9" t="str">
        <x:v>High</x:v>
      </x:c>
      <x:c r="K324" s="9" t="str">
        <x:v>Bank description</x:v>
      </x:c>
      <x:c r="L324" s="9" t="str">
        <x:v>Personal, transfer, tax, cash withdrawal, food or entertainment; no GST claim.</x:v>
      </x:c>
      <x:c r="M324" s="9" t="str">
        <x:v>fxq4ih</x:v>
      </x:c>
    </x:row>
    <x:row r="325" ht="15" hidden="0" customHeight="1">
      <x:c r="A325" s="9" t="str">
        <x:v>Payments basis</x:v>
      </x:c>
      <x:c r="B325" s="9" t="str">
        <x:v>19-31 Jan 2026</x:v>
      </x:c>
      <x:c r="C325" s="10" t="n">
        <x:v>46041.958333333336</x:v>
      </x:c>
      <x:c r="D325" s="9" t="str">
        <x:v>Purchase</x:v>
      </x:c>
      <x:c r="E325" s="9" t="str">
        <x:v>BNZ bank (pre-import)</x:v>
      </x:c>
      <x:c r="F325" s="9" t="str">
        <x:v>New World Wanaka · 6032 · 420549201134</x:v>
      </x:c>
      <x:c r="G325" s="11" t="n">
        <x:v>17.9</x:v>
      </x:c>
      <x:c r="H325" s="11" t="n">
        <x:v>0</x:v>
      </x:c>
      <x:c r="I325" s="9" t="str">
        <x:v>N</x:v>
      </x:c>
      <x:c r="J325" s="9" t="str">
        <x:v>High</x:v>
      </x:c>
      <x:c r="K325" s="9" t="str">
        <x:v>Bank description</x:v>
      </x:c>
      <x:c r="L325" s="9" t="str">
        <x:v>Personal, transfer, tax, cash withdrawal, food or entertainment; no GST claim.</x:v>
      </x:c>
      <x:c r="M325" s="9" t="str">
        <x:v>8aafff</x:v>
      </x:c>
    </x:row>
    <x:row r="326" ht="15" hidden="0" customHeight="1">
      <x:c r="A326" s="9" t="str">
        <x:v>Payments basis</x:v>
      </x:c>
      <x:c r="B326" s="9" t="str">
        <x:v>19-31 Jan 2026</x:v>
      </x:c>
      <x:c r="C326" s="10" t="n">
        <x:v>46041.958333333336</x:v>
      </x:c>
      <x:c r="D326" s="9" t="str">
        <x:v>Purchase</x:v>
      </x:c>
      <x:c r="E326" s="9" t="str">
        <x:v>BNZ bank (pre-import)</x:v>
      </x:c>
      <x:c r="F326" s="9" t="str">
        <x:v>MITRE 10 MEGA WANAKA · 6032 · 434667201241</x:v>
      </x:c>
      <x:c r="G326" s="11" t="n">
        <x:v>176.97</x:v>
      </x:c>
      <x:c r="H326" s="11" t="n">
        <x:v>23.08</x:v>
      </x:c>
      <x:c r="I326" s="9" t="str">
        <x:v>Y</x:v>
      </x:c>
      <x:c r="J326" s="9" t="str">
        <x:v>High</x:v>
      </x:c>
      <x:c r="K326" s="9" t="str">
        <x:v>Bank + TradePilot</x:v>
      </x:c>
      <x:c r="L326" s="9" t="str">
        <x:v>Business purchase.</x:v>
      </x:c>
      <x:c r="M326" s="9" t="str">
        <x:v>iwr9yf</x:v>
      </x:c>
    </x:row>
    <x:row r="327" ht="15" hidden="0" customHeight="1">
      <x:c r="A327" s="9" t="str">
        <x:v>Payments basis</x:v>
      </x:c>
      <x:c r="B327" s="9" t="str">
        <x:v>19-31 Jan 2026</x:v>
      </x:c>
      <x:c r="C327" s="10" t="n">
        <x:v>46041.958333333336</x:v>
      </x:c>
      <x:c r="D327" s="9" t="str">
        <x:v>Purchase</x:v>
      </x:c>
      <x:c r="E327" s="9" t="str">
        <x:v>BNZ bank (pre-import)</x:v>
      </x:c>
      <x:c r="F327" s="9" t="str">
        <x:v>New World Three Park · 6032 · 420549201745</x:v>
      </x:c>
      <x:c r="G327" s="11" t="n">
        <x:v>59.69</x:v>
      </x:c>
      <x:c r="H327" s="11" t="n">
        <x:v>0</x:v>
      </x:c>
      <x:c r="I327" s="9" t="str">
        <x:v>N</x:v>
      </x:c>
      <x:c r="J327" s="9" t="str">
        <x:v>High</x:v>
      </x:c>
      <x:c r="K327" s="9" t="str">
        <x:v>Bank description</x:v>
      </x:c>
      <x:c r="L327" s="9" t="str">
        <x:v>Personal, transfer, tax, cash withdrawal, food or entertainment; no GST claim.</x:v>
      </x:c>
      <x:c r="M327" s="9" t="str">
        <x:v>vmnroe</x:v>
      </x:c>
    </x:row>
    <x:row r="328" ht="15" hidden="0" customHeight="1">
      <x:c r="A328" s="9" t="str">
        <x:v>Payments basis</x:v>
      </x:c>
      <x:c r="B328" s="9" t="str">
        <x:v>19-31 Jan 2026</x:v>
      </x:c>
      <x:c r="C328" s="10" t="n">
        <x:v>46042.958333333336</x:v>
      </x:c>
      <x:c r="D328" s="9" t="str">
        <x:v>Purchase</x:v>
      </x:c>
      <x:c r="E328" s="9" t="str">
        <x:v>BNZ bank (pre-import)</x:v>
      </x:c>
      <x:c r="F328" s="9" t="str">
        <x:v>Resene - Wanaka 087 · 6032 · 420549211821</x:v>
      </x:c>
      <x:c r="G328" s="11" t="n">
        <x:v>41.11</x:v>
      </x:c>
      <x:c r="H328" s="11" t="n">
        <x:v>5.36</x:v>
      </x:c>
      <x:c r="I328" s="9" t="str">
        <x:v>Y</x:v>
      </x:c>
      <x:c r="J328" s="9" t="str">
        <x:v>High</x:v>
      </x:c>
      <x:c r="K328" s="9" t="str">
        <x:v>Bank + TradePilot</x:v>
      </x:c>
      <x:c r="L328" s="9" t="str">
        <x:v>Business purchase.</x:v>
      </x:c>
      <x:c r="M328" s="9" t="str">
        <x:v>xr7rny</x:v>
      </x:c>
    </x:row>
    <x:row r="329" ht="15" hidden="0" customHeight="1">
      <x:c r="A329" s="9" t="str">
        <x:v>Payments basis</x:v>
      </x:c>
      <x:c r="B329" s="9" t="str">
        <x:v>19-31 Jan 2026</x:v>
      </x:c>
      <x:c r="C329" s="10" t="n">
        <x:v>46042.958333333336</x:v>
      </x:c>
      <x:c r="D329" s="9" t="str">
        <x:v>Purchase</x:v>
      </x:c>
      <x:c r="E329" s="9" t="str">
        <x:v>BNZ bank (pre-import)</x:v>
      </x:c>
      <x:c r="F329" s="9" t="str">
        <x:v>THE CASEY FAMILY TRU</x:v>
      </x:c>
      <x:c r="G329" s="11" t="n">
        <x:v>1250</x:v>
      </x:c>
      <x:c r="H329" s="11" t="n">
        <x:v>0</x:v>
      </x:c>
      <x:c r="I329" s="9" t="str">
        <x:v>N</x:v>
      </x:c>
      <x:c r="J329" s="9" t="str">
        <x:v>High</x:v>
      </x:c>
      <x:c r="K329" s="9" t="str">
        <x:v>Bank description</x:v>
      </x:c>
      <x:c r="L329" s="9" t="str">
        <x:v>Personal, transfer, tax, cash withdrawal, food or entertainment; no GST claim.</x:v>
      </x:c>
      <x:c r="M329" s="9" t="str">
        <x:v>8atgst</x:v>
      </x:c>
    </x:row>
    <x:row r="330" ht="15" hidden="0" customHeight="1">
      <x:c r="A330" s="9" t="str">
        <x:v>Payments basis</x:v>
      </x:c>
      <x:c r="B330" s="9" t="str">
        <x:v>19-31 Jan 2026</x:v>
      </x:c>
      <x:c r="C330" s="10" t="n">
        <x:v>46043.958333333336</x:v>
      </x:c>
      <x:c r="D330" s="9" t="str">
        <x:v>Purchase</x:v>
      </x:c>
      <x:c r="E330" s="9" t="str">
        <x:v>BNZ bank (pre-import)</x:v>
      </x:c>
      <x:c r="F330" s="9" t="str">
        <x:v>New World Wanaka · 5996 · 420549221322</x:v>
      </x:c>
      <x:c r="G330" s="11" t="n">
        <x:v>95.48</x:v>
      </x:c>
      <x:c r="H330" s="11" t="n">
        <x:v>0</x:v>
      </x:c>
      <x:c r="I330" s="9" t="str">
        <x:v>N</x:v>
      </x:c>
      <x:c r="J330" s="9" t="str">
        <x:v>High</x:v>
      </x:c>
      <x:c r="K330" s="9" t="str">
        <x:v>Bank description</x:v>
      </x:c>
      <x:c r="L330" s="9" t="str">
        <x:v>Personal, transfer, tax, cash withdrawal, food or entertainment; no GST claim.</x:v>
      </x:c>
      <x:c r="M330" s="9" t="str">
        <x:v>y9ahkp</x:v>
      </x:c>
    </x:row>
    <x:row r="331" ht="15" hidden="0" customHeight="1">
      <x:c r="A331" s="9" t="str">
        <x:v>Payments basis</x:v>
      </x:c>
      <x:c r="B331" s="9" t="str">
        <x:v>19-31 Jan 2026</x:v>
      </x:c>
      <x:c r="C331" s="10" t="n">
        <x:v>46043.958333333336</x:v>
      </x:c>
      <x:c r="D331" s="9" t="str">
        <x:v>Sale</x:v>
      </x:c>
      <x:c r="E331" s="9" t="str">
        <x:v>BNZ bank</x:v>
      </x:c>
      <x:c r="F331" s="9" t="str">
        <x:v>JACKSON K B · P Jackson · Deposit</x:v>
      </x:c>
      <x:c r="G331" s="11" t="n">
        <x:v>1656</x:v>
      </x:c>
      <x:c r="H331" s="11" t="n">
        <x:v>216</x:v>
      </x:c>
      <x:c r="I331" s="9" t="str">
        <x:v>Y</x:v>
      </x:c>
      <x:c r="J331" s="9" t="str">
        <x:v>High</x:v>
      </x:c>
      <x:c r="K331" s="9" t="str">
        <x:v>Bank receipt + TradePilot job/income record</x:v>
      </x:c>
      <x:c r="L331" s="9" t="str">
        <x:v>Customer receipt; exact bank amount used.</x:v>
      </x:c>
      <x:c r="M331" s="9" t="str">
        <x:v>mwixff</x:v>
      </x:c>
    </x:row>
    <x:row r="332" ht="15" hidden="0" customHeight="1">
      <x:c r="A332" s="9" t="str">
        <x:v>Payments basis</x:v>
      </x:c>
      <x:c r="B332" s="9" t="str">
        <x:v>19-31 Jan 2026</x:v>
      </x:c>
      <x:c r="C332" s="10" t="n">
        <x:v>46044.958333333336</x:v>
      </x:c>
      <x:c r="D332" s="9" t="str">
        <x:v>Purchase</x:v>
      </x:c>
      <x:c r="E332" s="9" t="str">
        <x:v>BNZ bank (pre-import)</x:v>
      </x:c>
      <x:c r="F332" s="9" t="str">
        <x:v>MITRE 10 MEGA WANAKA · 5996 · 434667231412</x:v>
      </x:c>
      <x:c r="G332" s="11" t="n">
        <x:v>84.77</x:v>
      </x:c>
      <x:c r="H332" s="11" t="n">
        <x:v>11.06</x:v>
      </x:c>
      <x:c r="I332" s="9" t="str">
        <x:v>Y</x:v>
      </x:c>
      <x:c r="J332" s="9" t="str">
        <x:v>High</x:v>
      </x:c>
      <x:c r="K332" s="9" t="str">
        <x:v>Bank + TradePilot</x:v>
      </x:c>
      <x:c r="L332" s="9" t="str">
        <x:v>Business purchase.</x:v>
      </x:c>
      <x:c r="M332" s="9" t="str">
        <x:v>c3hv2j</x:v>
      </x:c>
    </x:row>
    <x:row r="333" ht="15" hidden="0" customHeight="1">
      <x:c r="A333" s="9" t="str">
        <x:v>Payments basis</x:v>
      </x:c>
      <x:c r="B333" s="9" t="str">
        <x:v>19-31 Jan 2026</x:v>
      </x:c>
      <x:c r="C333" s="10" t="n">
        <x:v>46044.958333333336</x:v>
      </x:c>
      <x:c r="D333" s="9" t="str">
        <x:v>Purchase</x:v>
      </x:c>
      <x:c r="E333" s="9" t="str">
        <x:v>BNZ bank (pre-import)</x:v>
      </x:c>
      <x:c r="F333" s="9" t="str">
        <x:v>THE WAREHOUSE 212 WA · 5996 · 434667231413</x:v>
      </x:c>
      <x:c r="G333" s="11" t="n">
        <x:v>2</x:v>
      </x:c>
      <x:c r="H333" s="11" t="n">
        <x:v>0.26</x:v>
      </x:c>
      <x:c r="I333" s="9" t="str">
        <x:v>Y</x:v>
      </x:c>
      <x:c r="J333" s="9" t="str">
        <x:v>Medium</x:v>
      </x:c>
      <x:c r="K333" s="9" t="str">
        <x:v>Bank + TradePilot materials/tool notes</x:v>
      </x:c>
      <x:c r="L333" s="9" t="str">
        <x:v>Warehouse purchase treated as job materials/tools; retain the TradePilot description.</x:v>
      </x:c>
      <x:c r="M333" s="9" t="str">
        <x:v>kzm7m2</x:v>
      </x:c>
    </x:row>
    <x:row r="334" ht="15" hidden="0" customHeight="1">
      <x:c r="A334" s="9" t="str">
        <x:v>Payments basis</x:v>
      </x:c>
      <x:c r="B334" s="9" t="str">
        <x:v>19-31 Jan 2026</x:v>
      </x:c>
      <x:c r="C334" s="10" t="n">
        <x:v>46044.958333333336</x:v>
      </x:c>
      <x:c r="D334" s="9" t="str">
        <x:v>Purchase</x:v>
      </x:c>
      <x:c r="E334" s="9" t="str">
        <x:v>BNZ bank (pre-import)</x:v>
      </x:c>
      <x:c r="F334" s="9" t="str">
        <x:v>New World Three Park · 5996 · 420549231419</x:v>
      </x:c>
      <x:c r="G334" s="11" t="n">
        <x:v>33.66</x:v>
      </x:c>
      <x:c r="H334" s="11" t="n">
        <x:v>0</x:v>
      </x:c>
      <x:c r="I334" s="9" t="str">
        <x:v>N</x:v>
      </x:c>
      <x:c r="J334" s="9" t="str">
        <x:v>High</x:v>
      </x:c>
      <x:c r="K334" s="9" t="str">
        <x:v>Bank description</x:v>
      </x:c>
      <x:c r="L334" s="9" t="str">
        <x:v>Personal, transfer, tax, cash withdrawal, food or entertainment; no GST claim.</x:v>
      </x:c>
      <x:c r="M334" s="9" t="str">
        <x:v>j1zrxv</x:v>
      </x:c>
    </x:row>
    <x:row r="335" ht="15" hidden="0" customHeight="1">
      <x:c r="A335" s="9" t="str">
        <x:v>Payments basis</x:v>
      </x:c>
      <x:c r="B335" s="9" t="str">
        <x:v>19-31 Jan 2026</x:v>
      </x:c>
      <x:c r="C335" s="10" t="n">
        <x:v>46044.958333333336</x:v>
      </x:c>
      <x:c r="D335" s="9" t="str">
        <x:v>Purchase</x:v>
      </x:c>
      <x:c r="E335" s="9" t="str">
        <x:v>BNZ bank (pre-import)</x:v>
      </x:c>
      <x:c r="F335" s="9" t="str">
        <x:v>Resene - Wanaka 087 · 5996 · 420549231538</x:v>
      </x:c>
      <x:c r="G335" s="11" t="n">
        <x:v>67.08</x:v>
      </x:c>
      <x:c r="H335" s="11" t="n">
        <x:v>8.75</x:v>
      </x:c>
      <x:c r="I335" s="9" t="str">
        <x:v>Y</x:v>
      </x:c>
      <x:c r="J335" s="9" t="str">
        <x:v>High</x:v>
      </x:c>
      <x:c r="K335" s="9" t="str">
        <x:v>Bank + TradePilot</x:v>
      </x:c>
      <x:c r="L335" s="9" t="str">
        <x:v>Business purchase.</x:v>
      </x:c>
      <x:c r="M335" s="9" t="str">
        <x:v>gef0cl</x:v>
      </x:c>
    </x:row>
    <x:row r="336" ht="15" hidden="0" customHeight="1">
      <x:c r="A336" s="9" t="str">
        <x:v>Payments basis</x:v>
      </x:c>
      <x:c r="B336" s="9" t="str">
        <x:v>19-31 Jan 2026</x:v>
      </x:c>
      <x:c r="C336" s="10" t="n">
        <x:v>46044.958333333336</x:v>
      </x:c>
      <x:c r="D336" s="9" t="str">
        <x:v>Purchase</x:v>
      </x:c>
      <x:c r="E336" s="9" t="str">
        <x:v>BNZ bank (pre-import)</x:v>
      </x:c>
      <x:c r="F336" s="9" t="str">
        <x:v>A BLENDS · 5996 · 448131231553</x:v>
      </x:c>
      <x:c r="G336" s="11" t="n">
        <x:v>95</x:v>
      </x:c>
      <x:c r="H336" s="11" t="n">
        <x:v>0</x:v>
      </x:c>
      <x:c r="I336" s="9" t="str">
        <x:v>N</x:v>
      </x:c>
      <x:c r="J336" s="9" t="str">
        <x:v>Review</x:v>
      </x:c>
      <x:c r="K336" s="9" t="str">
        <x:v>Bank only</x:v>
      </x:c>
      <x:c r="L336" s="9" t="str">
        <x:v>Unclear merchant/purpose.</x:v>
      </x:c>
      <x:c r="M336" s="9" t="str">
        <x:v>ysl0hy</x:v>
      </x:c>
    </x:row>
    <x:row r="337" ht="15" hidden="0" customHeight="1">
      <x:c r="A337" s="9" t="str">
        <x:v>Payments basis</x:v>
      </x:c>
      <x:c r="B337" s="9" t="str">
        <x:v>19-31 Jan 2026</x:v>
      </x:c>
      <x:c r="C337" s="10" t="n">
        <x:v>46045.958333333336</x:v>
      </x:c>
      <x:c r="D337" s="9" t="str">
        <x:v>Purchase</x:v>
      </x:c>
      <x:c r="E337" s="9" t="str">
        <x:v>BNZ bank (pre-import)</x:v>
      </x:c>
      <x:c r="F337" s="9" t="str">
        <x:v>THE WAREHOUSE 212 WA · 5996 · 434667241102</x:v>
      </x:c>
      <x:c r="G337" s="11" t="n">
        <x:v>48.33</x:v>
      </x:c>
      <x:c r="H337" s="11" t="n">
        <x:v>6.3</x:v>
      </x:c>
      <x:c r="I337" s="9" t="str">
        <x:v>Y</x:v>
      </x:c>
      <x:c r="J337" s="9" t="str">
        <x:v>Medium</x:v>
      </x:c>
      <x:c r="K337" s="9" t="str">
        <x:v>Bank + TradePilot materials/tool notes</x:v>
      </x:c>
      <x:c r="L337" s="9" t="str">
        <x:v>Warehouse purchase treated as job materials/tools; retain the TradePilot description.</x:v>
      </x:c>
      <x:c r="M337" s="9" t="str">
        <x:v>x6jqcz</x:v>
      </x:c>
    </x:row>
    <x:row r="338" ht="15" hidden="0" customHeight="1">
      <x:c r="A338" s="9" t="str">
        <x:v>Payments basis</x:v>
      </x:c>
      <x:c r="B338" s="9" t="str">
        <x:v>19-31 Jan 2026</x:v>
      </x:c>
      <x:c r="C338" s="10" t="n">
        <x:v>46045.958333333336</x:v>
      </x:c>
      <x:c r="D338" s="9" t="str">
        <x:v>Purchase</x:v>
      </x:c>
      <x:c r="E338" s="9" t="str">
        <x:v>BNZ bank (pre-import)</x:v>
      </x:c>
      <x:c r="F338" s="9" t="str">
        <x:v>New World Three Park · 5996 · 420549241126</x:v>
      </x:c>
      <x:c r="G338" s="11" t="n">
        <x:v>37.74</x:v>
      </x:c>
      <x:c r="H338" s="11" t="n">
        <x:v>0</x:v>
      </x:c>
      <x:c r="I338" s="9" t="str">
        <x:v>N</x:v>
      </x:c>
      <x:c r="J338" s="9" t="str">
        <x:v>High</x:v>
      </x:c>
      <x:c r="K338" s="9" t="str">
        <x:v>Bank description</x:v>
      </x:c>
      <x:c r="L338" s="9" t="str">
        <x:v>Personal, transfer, tax, cash withdrawal, food or entertainment; no GST claim.</x:v>
      </x:c>
      <x:c r="M338" s="9" t="str">
        <x:v>vgijir</x:v>
      </x:c>
    </x:row>
    <x:row r="339" ht="15" hidden="0" customHeight="1">
      <x:c r="A339" s="9" t="str">
        <x:v>Payments basis</x:v>
      </x:c>
      <x:c r="B339" s="9" t="str">
        <x:v>19-31 Jan 2026</x:v>
      </x:c>
      <x:c r="C339" s="10" t="n">
        <x:v>46045.958333333336</x:v>
      </x:c>
      <x:c r="D339" s="9" t="str">
        <x:v>Purchase</x:v>
      </x:c>
      <x:c r="E339" s="9" t="str">
        <x:v>BNZ bank (pre-import)</x:v>
      </x:c>
      <x:c r="F339" s="9" t="str">
        <x:v>MITRE 10 MEGA WANAKA · 5996 · 434667240949</x:v>
      </x:c>
      <x:c r="G339" s="11" t="n">
        <x:v>106.84</x:v>
      </x:c>
      <x:c r="H339" s="11" t="n">
        <x:v>13.94</x:v>
      </x:c>
      <x:c r="I339" s="9" t="str">
        <x:v>Y</x:v>
      </x:c>
      <x:c r="J339" s="9" t="str">
        <x:v>High</x:v>
      </x:c>
      <x:c r="K339" s="9" t="str">
        <x:v>Bank + TradePilot</x:v>
      </x:c>
      <x:c r="L339" s="9" t="str">
        <x:v>Business purchase.</x:v>
      </x:c>
      <x:c r="M339" s="9" t="str">
        <x:v>5g2vcs</x:v>
      </x:c>
    </x:row>
    <x:row r="340" ht="15" hidden="0" customHeight="1">
      <x:c r="A340" s="9" t="str">
        <x:v>Payments basis</x:v>
      </x:c>
      <x:c r="B340" s="9" t="str">
        <x:v>19-31 Jan 2026</x:v>
      </x:c>
      <x:c r="C340" s="10" t="n">
        <x:v>46046.958333333336</x:v>
      </x:c>
      <x:c r="D340" s="9" t="str">
        <x:v>Purchase</x:v>
      </x:c>
      <x:c r="E340" s="9" t="str">
        <x:v>BNZ bank (pre-import)</x:v>
      </x:c>
      <x:c r="F340" s="9" t="str">
        <x:v>New World Three Park · 5996 · 420549251353</x:v>
      </x:c>
      <x:c r="G340" s="11" t="n">
        <x:v>272.17</x:v>
      </x:c>
      <x:c r="H340" s="11" t="n">
        <x:v>0</x:v>
      </x:c>
      <x:c r="I340" s="9" t="str">
        <x:v>N</x:v>
      </x:c>
      <x:c r="J340" s="9" t="str">
        <x:v>High</x:v>
      </x:c>
      <x:c r="K340" s="9" t="str">
        <x:v>Bank description</x:v>
      </x:c>
      <x:c r="L340" s="9" t="str">
        <x:v>Personal, transfer, tax, cash withdrawal, food or entertainment; no GST claim.</x:v>
      </x:c>
      <x:c r="M340" s="9" t="str">
        <x:v>ycn5y9</x:v>
      </x:c>
    </x:row>
    <x:row r="341" ht="15" hidden="0" customHeight="1">
      <x:c r="A341" s="9" t="str">
        <x:v>Payments basis</x:v>
      </x:c>
      <x:c r="B341" s="9" t="str">
        <x:v>19-31 Jan 2026</x:v>
      </x:c>
      <x:c r="C341" s="10" t="n">
        <x:v>46046.958333333336</x:v>
      </x:c>
      <x:c r="D341" s="9" t="str">
        <x:v>Purchase</x:v>
      </x:c>
      <x:c r="E341" s="9" t="str">
        <x:v>BNZ bank (pre-import)</x:v>
      </x:c>
      <x:c r="F341" s="9" t="str">
        <x:v>BP CONNECT WANAKA · 5996 · 492102250920</x:v>
      </x:c>
      <x:c r="G341" s="11" t="n">
        <x:v>37.65</x:v>
      </x:c>
      <x:c r="H341" s="11" t="n">
        <x:v>4.91</x:v>
      </x:c>
      <x:c r="I341" s="9" t="str">
        <x:v>Y</x:v>
      </x:c>
      <x:c r="J341" s="9" t="str">
        <x:v>High</x:v>
      </x:c>
      <x:c r="K341" s="9" t="str">
        <x:v>Bank + TradePilot</x:v>
      </x:c>
      <x:c r="L341" s="9" t="str">
        <x:v>Business purchase.</x:v>
      </x:c>
      <x:c r="M341" s="9" t="str">
        <x:v>bgqowv</x:v>
      </x:c>
    </x:row>
    <x:row r="342" ht="15" hidden="0" customHeight="1">
      <x:c r="A342" s="9" t="str">
        <x:v>Payments basis</x:v>
      </x:c>
      <x:c r="B342" s="9" t="str">
        <x:v>19-31 Jan 2026</x:v>
      </x:c>
      <x:c r="C342" s="10" t="n">
        <x:v>46049.958333333336</x:v>
      </x:c>
      <x:c r="D342" s="9" t="str">
        <x:v>Sale</x:v>
      </x:c>
      <x:c r="E342" s="9" t="str">
        <x:v>BNZ bank</x:v>
      </x:c>
      <x:c r="F342" s="9" t="str">
        <x:v>BRAND S M · Sarahbrand</x:v>
      </x:c>
      <x:c r="G342" s="11" t="n">
        <x:v>755.95</x:v>
      </x:c>
      <x:c r="H342" s="11" t="n">
        <x:v>98.6</x:v>
      </x:c>
      <x:c r="I342" s="9" t="str">
        <x:v>Y</x:v>
      </x:c>
      <x:c r="J342" s="9" t="str">
        <x:v>High</x:v>
      </x:c>
      <x:c r="K342" s="9" t="str">
        <x:v>Bank receipt + TradePilot job/income record</x:v>
      </x:c>
      <x:c r="L342" s="9" t="str">
        <x:v>Customer receipt; exact bank amount used.</x:v>
      </x:c>
      <x:c r="M342" s="9" t="str">
        <x:v>3bmn6m</x:v>
      </x:c>
    </x:row>
    <x:row r="343" ht="15" hidden="0" customHeight="1">
      <x:c r="A343" s="9" t="str">
        <x:v>Payments basis</x:v>
      </x:c>
      <x:c r="B343" s="9" t="str">
        <x:v>19-31 Jan 2026</x:v>
      </x:c>
      <x:c r="C343" s="10" t="n">
        <x:v>46050.958333333336</x:v>
      </x:c>
      <x:c r="D343" s="9" t="str">
        <x:v>Purchase</x:v>
      </x:c>
      <x:c r="E343" s="9" t="str">
        <x:v>BNZ bank (pre-import)</x:v>
      </x:c>
      <x:c r="F343" s="9" t="str">
        <x:v>THE WAREHOUSE 212 WA · 5996 · 434667291332</x:v>
      </x:c>
      <x:c r="G343" s="11" t="n">
        <x:v>62</x:v>
      </x:c>
      <x:c r="H343" s="11" t="n">
        <x:v>0</x:v>
      </x:c>
      <x:c r="I343" s="9" t="str">
        <x:v>N</x:v>
      </x:c>
      <x:c r="J343" s="9" t="str">
        <x:v>Review</x:v>
      </x:c>
      <x:c r="K343" s="9" t="str">
        <x:v>Bank + TradePilot description</x:v>
      </x:c>
      <x:c r="L343" s="9" t="str">
        <x:v>Ordinary work clothing excluded. Change to Y only if protective or a distinctive branded uniform.</x:v>
      </x:c>
      <x:c r="M343" s="9" t="str">
        <x:v>nyt9mg</x:v>
      </x:c>
    </x:row>
    <x:row r="344" ht="15" hidden="0" customHeight="1">
      <x:c r="A344" s="9" t="str">
        <x:v>Payments basis</x:v>
      </x:c>
      <x:c r="B344" s="9" t="str">
        <x:v>19-31 Jan 2026</x:v>
      </x:c>
      <x:c r="C344" s="10" t="n">
        <x:v>46050.958333333336</x:v>
      </x:c>
      <x:c r="D344" s="9" t="str">
        <x:v>Purchase</x:v>
      </x:c>
      <x:c r="E344" s="9" t="str">
        <x:v>BNZ bank (pre-import)</x:v>
      </x:c>
      <x:c r="F344" s="9" t="str">
        <x:v>YouMoney · INTERNET XFR</x:v>
      </x:c>
      <x:c r="G344" s="11" t="n">
        <x:v>200</x:v>
      </x:c>
      <x:c r="H344" s="11" t="n">
        <x:v>0</x:v>
      </x:c>
      <x:c r="I344" s="9" t="str">
        <x:v>N</x:v>
      </x:c>
      <x:c r="J344" s="9" t="str">
        <x:v>High</x:v>
      </x:c>
      <x:c r="K344" s="9" t="str">
        <x:v>Bank description</x:v>
      </x:c>
      <x:c r="L344" s="9" t="str">
        <x:v>Personal, transfer, tax, cash withdrawal, food or entertainment; no GST claim.</x:v>
      </x:c>
      <x:c r="M344" s="9" t="str">
        <x:v>vfdbyo</x:v>
      </x:c>
    </x:row>
    <x:row r="345" ht="15" hidden="0" customHeight="1">
      <x:c r="A345" s="9" t="str">
        <x:v>Payments basis</x:v>
      </x:c>
      <x:c r="B345" s="9" t="str">
        <x:v>19-31 Jan 2026</x:v>
      </x:c>
      <x:c r="C345" s="10" t="n">
        <x:v>46051.958333333336</x:v>
      </x:c>
      <x:c r="D345" s="9" t="str">
        <x:v>Sale</x:v>
      </x:c>
      <x:c r="E345" s="9" t="str">
        <x:v>BNZ bank</x:v>
      </x:c>
      <x:c r="F345" s="9" t="str">
        <x:v>CHIRNSIDE C T · Inv Numb</x:v>
      </x:c>
      <x:c r="G345" s="11" t="n">
        <x:v>2203.4</x:v>
      </x:c>
      <x:c r="H345" s="11" t="n">
        <x:v>287.4</x:v>
      </x:c>
      <x:c r="I345" s="9" t="str">
        <x:v>Y</x:v>
      </x:c>
      <x:c r="J345" s="9" t="str">
        <x:v>High</x:v>
      </x:c>
      <x:c r="K345" s="9" t="str">
        <x:v>Bank receipt + TradePilot job/income record</x:v>
      </x:c>
      <x:c r="L345" s="9" t="str">
        <x:v>Customer receipt; exact bank amount used.</x:v>
      </x:c>
      <x:c r="M345" s="9" t="str">
        <x:v>9u2omd</x:v>
      </x:c>
    </x:row>
    <x:row r="346" ht="15" hidden="0" customHeight="1">
      <x:c r="A346" s="9" t="str">
        <x:v>Payments basis</x:v>
      </x:c>
      <x:c r="B346" s="9" t="str">
        <x:v>19-31 Jan 2026</x:v>
      </x:c>
      <x:c r="C346" s="10" t="n">
        <x:v>46052.958333333336</x:v>
      </x:c>
      <x:c r="D346" s="9" t="str">
        <x:v>Purchase</x:v>
      </x:c>
      <x:c r="E346" s="9" t="str">
        <x:v>BNZ bank (pre-import)</x:v>
      </x:c>
      <x:c r="F346" s="9" t="str">
        <x:v>BP CONNECT WANAKA · 5996 · 492102311232</x:v>
      </x:c>
      <x:c r="G346" s="11" t="n">
        <x:v>11.8</x:v>
      </x:c>
      <x:c r="H346" s="11" t="n">
        <x:v>1.54</x:v>
      </x:c>
      <x:c r="I346" s="9" t="str">
        <x:v>Y</x:v>
      </x:c>
      <x:c r="J346" s="9" t="str">
        <x:v>High</x:v>
      </x:c>
      <x:c r="K346" s="9" t="str">
        <x:v>Bank + TradePilot</x:v>
      </x:c>
      <x:c r="L346" s="9" t="str">
        <x:v>Business purchase.</x:v>
      </x:c>
      <x:c r="M346" s="9" t="str">
        <x:v>7v6xwt</x:v>
      </x:c>
    </x:row>
    <x:row r="347" ht="15" hidden="0" customHeight="1">
      <x:c r="A347" s="9" t="str">
        <x:v>Payments basis</x:v>
      </x:c>
      <x:c r="B347" s="9" t="str">
        <x:v>19-31 Jan 2026</x:v>
      </x:c>
      <x:c r="C347" s="10" t="n">
        <x:v>46052.958333333336</x:v>
      </x:c>
      <x:c r="D347" s="9" t="str">
        <x:v>Purchase</x:v>
      </x:c>
      <x:c r="E347" s="9" t="str">
        <x:v>BNZ bank (pre-import)</x:v>
      </x:c>
      <x:c r="F347" s="9" t="str">
        <x:v>COLUMBUSCOFFEEWANAKA · 5996 · 434667311036</x:v>
      </x:c>
      <x:c r="G347" s="11" t="n">
        <x:v>22.44</x:v>
      </x:c>
      <x:c r="H347" s="11" t="n">
        <x:v>0</x:v>
      </x:c>
      <x:c r="I347" s="9" t="str">
        <x:v>N</x:v>
      </x:c>
      <x:c r="J347" s="9" t="str">
        <x:v>High</x:v>
      </x:c>
      <x:c r="K347" s="9" t="str">
        <x:v>Bank description</x:v>
      </x:c>
      <x:c r="L347" s="9" t="str">
        <x:v>Personal, transfer, tax, cash withdrawal, food or entertainment; no GST claim.</x:v>
      </x:c>
      <x:c r="M347" s="9" t="str">
        <x:v>5kvbgz</x:v>
      </x:c>
    </x:row>
    <x:row r="348" ht="15" hidden="0" customHeight="1">
      <x:c r="A348" s="9" t="str">
        <x:v>Payments basis</x:v>
      </x:c>
      <x:c r="B348" s="9" t="str">
        <x:v>19-31 Jan 2026</x:v>
      </x:c>
      <x:c r="C348" s="10" t="n">
        <x:v>46052.958333333336</x:v>
      </x:c>
      <x:c r="D348" s="9" t="str">
        <x:v>Purchase</x:v>
      </x:c>
      <x:c r="E348" s="9" t="str">
        <x:v>BNZ bank (pre-import)</x:v>
      </x:c>
      <x:c r="F348" s="9" t="str">
        <x:v>MITRE 10 MEGA WANAKA · 5996 · 434667311014</x:v>
      </x:c>
      <x:c r="G348" s="11" t="n">
        <x:v>250.45</x:v>
      </x:c>
      <x:c r="H348" s="11" t="n">
        <x:v>32.67</x:v>
      </x:c>
      <x:c r="I348" s="9" t="str">
        <x:v>Y</x:v>
      </x:c>
      <x:c r="J348" s="9" t="str">
        <x:v>High</x:v>
      </x:c>
      <x:c r="K348" s="9" t="str">
        <x:v>Bank + TradePilot</x:v>
      </x:c>
      <x:c r="L348" s="9" t="str">
        <x:v>Business purchase.</x:v>
      </x:c>
      <x:c r="M348" s="9" t="str">
        <x:v>u74e5p</x:v>
      </x:c>
    </x:row>
    <x:row r="349" ht="15" hidden="0" customHeight="1">
      <x:c r="A349" s="9" t="str">
        <x:v>Payments basis</x:v>
      </x:c>
      <x:c r="B349" s="9" t="str">
        <x:v>19-31 Jan 2026</x:v>
      </x:c>
      <x:c r="C349" s="10" t="n">
        <x:v>46052.958333333336</x:v>
      </x:c>
      <x:c r="D349" s="9" t="str">
        <x:v>Purchase</x:v>
      </x:c>
      <x:c r="E349" s="9" t="str">
        <x:v>BNZ bank (pre-import)</x:v>
      </x:c>
      <x:c r="F349" s="9" t="str">
        <x:v>New World Three Park · 5996 · 420549311607</x:v>
      </x:c>
      <x:c r="G349" s="11" t="n">
        <x:v>6.79</x:v>
      </x:c>
      <x:c r="H349" s="11" t="n">
        <x:v>0</x:v>
      </x:c>
      <x:c r="I349" s="9" t="str">
        <x:v>N</x:v>
      </x:c>
      <x:c r="J349" s="9" t="str">
        <x:v>High</x:v>
      </x:c>
      <x:c r="K349" s="9" t="str">
        <x:v>Bank description</x:v>
      </x:c>
      <x:c r="L349" s="9" t="str">
        <x:v>Personal, transfer, tax, cash withdrawal, food or entertainment; no GST claim.</x:v>
      </x:c>
      <x:c r="M349" s="9" t="str">
        <x:v>qhoyaq</x:v>
      </x:c>
    </x:row>
    <x:row r="350" ht="15" hidden="0" customHeight="1">
      <x:c r="A350" s="9" t="str">
        <x:v>Payments basis</x:v>
      </x:c>
      <x:c r="B350" s="9" t="str">
        <x:v>1 Feb-31 Jul 2026</x:v>
      </x:c>
      <x:c r="C350" s="10" t="n">
        <x:v>46053.958333333336</x:v>
      </x:c>
      <x:c r="D350" s="9" t="str">
        <x:v>Purchase</x:v>
      </x:c>
      <x:c r="E350" s="9" t="str">
        <x:v>BNZ bank (pre-import)</x:v>
      </x:c>
      <x:c r="F350" s="9" t="str">
        <x:v>PATAGONIA WANAKA · 5996 · 434667011124</x:v>
      </x:c>
      <x:c r="G350" s="11" t="n">
        <x:v>10</x:v>
      </x:c>
      <x:c r="H350" s="11" t="n">
        <x:v>0</x:v>
      </x:c>
      <x:c r="I350" s="9" t="str">
        <x:v>N</x:v>
      </x:c>
      <x:c r="J350" s="9" t="str">
        <x:v>High</x:v>
      </x:c>
      <x:c r="K350" s="9" t="str">
        <x:v>Bank description</x:v>
      </x:c>
      <x:c r="L350" s="9" t="str">
        <x:v>Personal, transfer, tax, cash withdrawal, food or entertainment; no GST claim.</x:v>
      </x:c>
      <x:c r="M350" s="9" t="str">
        <x:v>lx0o6b</x:v>
      </x:c>
    </x:row>
    <x:row r="351" ht="15" hidden="0" customHeight="1">
      <x:c r="A351" s="9" t="str">
        <x:v>Payments basis</x:v>
      </x:c>
      <x:c r="B351" s="9" t="str">
        <x:v>1 Feb-31 Jul 2026</x:v>
      </x:c>
      <x:c r="C351" s="10" t="n">
        <x:v>46053.958333333336</x:v>
      </x:c>
      <x:c r="D351" s="9" t="str">
        <x:v>Purchase</x:v>
      </x:c>
      <x:c r="E351" s="9" t="str">
        <x:v>BNZ bank (pre-import)</x:v>
      </x:c>
      <x:c r="F351" s="9" t="str">
        <x:v>BP CONNECT WANAKA · 5996 · 492102010949</x:v>
      </x:c>
      <x:c r="G351" s="11" t="n">
        <x:v>63.73</x:v>
      </x:c>
      <x:c r="H351" s="11" t="n">
        <x:v>8.31</x:v>
      </x:c>
      <x:c r="I351" s="9" t="str">
        <x:v>Y</x:v>
      </x:c>
      <x:c r="J351" s="9" t="str">
        <x:v>High</x:v>
      </x:c>
      <x:c r="K351" s="9" t="str">
        <x:v>Bank + TradePilot</x:v>
      </x:c>
      <x:c r="L351" s="9" t="str">
        <x:v>Business purchase.</x:v>
      </x:c>
      <x:c r="M351" s="9" t="str">
        <x:v>ujndj5</x:v>
      </x:c>
    </x:row>
    <x:row r="352" ht="15" hidden="0" customHeight="1">
      <x:c r="A352" s="9" t="str">
        <x:v>Payments basis</x:v>
      </x:c>
      <x:c r="B352" s="9" t="str">
        <x:v>1 Feb-31 Jul 2026</x:v>
      </x:c>
      <x:c r="C352" s="10" t="n">
        <x:v>46054.958333333336</x:v>
      </x:c>
      <x:c r="D352" s="9" t="str">
        <x:v>Purchase</x:v>
      </x:c>
      <x:c r="E352" s="9" t="str">
        <x:v>BNZ bank (pre-import)</x:v>
      </x:c>
      <x:c r="F352" s="9" t="str">
        <x:v>Resene - Wanaka 087 · 5996 · 420549020857</x:v>
      </x:c>
      <x:c r="G352" s="11" t="n">
        <x:v>75</x:v>
      </x:c>
      <x:c r="H352" s="11" t="n">
        <x:v>9.78</x:v>
      </x:c>
      <x:c r="I352" s="9" t="str">
        <x:v>Y</x:v>
      </x:c>
      <x:c r="J352" s="9" t="str">
        <x:v>High</x:v>
      </x:c>
      <x:c r="K352" s="9" t="str">
        <x:v>Bank + TradePilot</x:v>
      </x:c>
      <x:c r="L352" s="9" t="str">
        <x:v>Business purchase.</x:v>
      </x:c>
      <x:c r="M352" s="9" t="str">
        <x:v>thunrk</x:v>
      </x:c>
    </x:row>
    <x:row r="353" ht="15" hidden="0" customHeight="1">
      <x:c r="A353" s="9" t="str">
        <x:v>Payments basis</x:v>
      </x:c>
      <x:c r="B353" s="9" t="str">
        <x:v>1 Feb-31 Jul 2026</x:v>
      </x:c>
      <x:c r="C353" s="10" t="n">
        <x:v>46054.958333333336</x:v>
      </x:c>
      <x:c r="D353" s="9" t="str">
        <x:v>Purchase</x:v>
      </x:c>
      <x:c r="E353" s="9" t="str">
        <x:v>BNZ bank (pre-import)</x:v>
      </x:c>
      <x:c r="F353" s="9" t="str">
        <x:v>Placemakers Wanaka · 5996 · 420549020903</x:v>
      </x:c>
      <x:c r="G353" s="11" t="n">
        <x:v>76.31</x:v>
      </x:c>
      <x:c r="H353" s="11" t="n">
        <x:v>9.95</x:v>
      </x:c>
      <x:c r="I353" s="9" t="str">
        <x:v>Y</x:v>
      </x:c>
      <x:c r="J353" s="9" t="str">
        <x:v>High</x:v>
      </x:c>
      <x:c r="K353" s="9" t="str">
        <x:v>Bank + TradePilot</x:v>
      </x:c>
      <x:c r="L353" s="9" t="str">
        <x:v>Business purchase.</x:v>
      </x:c>
      <x:c r="M353" s="9" t="str">
        <x:v>j68pxj</x:v>
      </x:c>
    </x:row>
    <x:row r="354" ht="15" hidden="0" customHeight="1">
      <x:c r="A354" s="9" t="str">
        <x:v>Payments basis</x:v>
      </x:c>
      <x:c r="B354" s="9" t="str">
        <x:v>1 Feb-31 Jul 2026</x:v>
      </x:c>
      <x:c r="C354" s="10" t="n">
        <x:v>46054.958333333336</x:v>
      </x:c>
      <x:c r="D354" s="9" t="str">
        <x:v>Purchase</x:v>
      </x:c>
      <x:c r="E354" s="9" t="str">
        <x:v>BNZ bank (pre-import)</x:v>
      </x:c>
      <x:c r="F354" s="9" t="str">
        <x:v>Stirling Sports Wana · 5996 · 420549020921</x:v>
      </x:c>
      <x:c r="G354" s="11" t="n">
        <x:v>140</x:v>
      </x:c>
      <x:c r="H354" s="11" t="n">
        <x:v>0</x:v>
      </x:c>
      <x:c r="I354" s="9" t="str">
        <x:v>N</x:v>
      </x:c>
      <x:c r="J354" s="9" t="str">
        <x:v>High</x:v>
      </x:c>
      <x:c r="K354" s="9" t="str">
        <x:v>Bank description</x:v>
      </x:c>
      <x:c r="L354" s="9" t="str">
        <x:v>Personal, transfer, tax, cash withdrawal, food or entertainment; no GST claim.</x:v>
      </x:c>
      <x:c r="M354" s="9" t="str">
        <x:v>ocww6q</x:v>
      </x:c>
    </x:row>
    <x:row r="355" ht="15" hidden="0" customHeight="1">
      <x:c r="A355" s="9" t="str">
        <x:v>Payments basis</x:v>
      </x:c>
      <x:c r="B355" s="9" t="str">
        <x:v>1 Feb-31 Jul 2026</x:v>
      </x:c>
      <x:c r="C355" s="10" t="n">
        <x:v>46054.958333333336</x:v>
      </x:c>
      <x:c r="D355" s="9" t="str">
        <x:v>Purchase</x:v>
      </x:c>
      <x:c r="E355" s="9" t="str">
        <x:v>BNZ bank (pre-import)</x:v>
      </x:c>
      <x:c r="F355" s="9" t="str">
        <x:v>The Little Brewer · 5996 · 420549020925</x:v>
      </x:c>
      <x:c r="G355" s="11" t="n">
        <x:v>11.69</x:v>
      </x:c>
      <x:c r="H355" s="11" t="n">
        <x:v>0</x:v>
      </x:c>
      <x:c r="I355" s="9" t="str">
        <x:v>N</x:v>
      </x:c>
      <x:c r="J355" s="9" t="str">
        <x:v>High</x:v>
      </x:c>
      <x:c r="K355" s="9" t="str">
        <x:v>Bank description</x:v>
      </x:c>
      <x:c r="L355" s="9" t="str">
        <x:v>Personal, transfer, tax, cash withdrawal, food or entertainment; no GST claim.</x:v>
      </x:c>
      <x:c r="M355" s="9" t="str">
        <x:v>eafe7a</x:v>
      </x:c>
    </x:row>
    <x:row r="356" ht="15" hidden="0" customHeight="1">
      <x:c r="A356" s="9" t="str">
        <x:v>Payments basis</x:v>
      </x:c>
      <x:c r="B356" s="9" t="str">
        <x:v>1 Feb-31 Jul 2026</x:v>
      </x:c>
      <x:c r="C356" s="10" t="n">
        <x:v>46054.958333333336</x:v>
      </x:c>
      <x:c r="D356" s="9" t="str">
        <x:v>Sale</x:v>
      </x:c>
      <x:c r="E356" s="9" t="str">
        <x:v>BNZ bank</x:v>
      </x:c>
      <x:c r="F356" s="9" t="str">
        <x:v>C E &amp; S S GUNN · 50 Dale St · 30 percent d</x:v>
      </x:c>
      <x:c r="G356" s="11" t="n">
        <x:v>2001</x:v>
      </x:c>
      <x:c r="H356" s="11" t="n">
        <x:v>261</x:v>
      </x:c>
      <x:c r="I356" s="9" t="str">
        <x:v>Y</x:v>
      </x:c>
      <x:c r="J356" s="9" t="str">
        <x:v>High</x:v>
      </x:c>
      <x:c r="K356" s="9" t="str">
        <x:v>Bank receipt + TradePilot job/income record</x:v>
      </x:c>
      <x:c r="L356" s="9" t="str">
        <x:v>Customer receipt; exact bank amount used.</x:v>
      </x:c>
      <x:c r="M356" s="9" t="str">
        <x:v>vao3ik</x:v>
      </x:c>
    </x:row>
    <x:row r="357" ht="15" hidden="0" customHeight="1">
      <x:c r="A357" s="9" t="str">
        <x:v>Payments basis</x:v>
      </x:c>
      <x:c r="B357" s="9" t="str">
        <x:v>1 Feb-31 Jul 2026</x:v>
      </x:c>
      <x:c r="C357" s="10" t="n">
        <x:v>46054.958333333336</x:v>
      </x:c>
      <x:c r="D357" s="9" t="str">
        <x:v>Sale</x:v>
      </x:c>
      <x:c r="E357" s="9" t="str">
        <x:v>BNZ bank</x:v>
      </x:c>
      <x:c r="F357" s="9" t="str">
        <x:v>NICHOLSON  TD &amp; · 4 perrow st · Nicholson</x:v>
      </x:c>
      <x:c r="G357" s="11" t="n">
        <x:v>465.75</x:v>
      </x:c>
      <x:c r="H357" s="11" t="n">
        <x:v>60.75</x:v>
      </x:c>
      <x:c r="I357" s="9" t="str">
        <x:v>Y</x:v>
      </x:c>
      <x:c r="J357" s="9" t="str">
        <x:v>High</x:v>
      </x:c>
      <x:c r="K357" s="9" t="str">
        <x:v>Bank receipt + TradePilot job/income record</x:v>
      </x:c>
      <x:c r="L357" s="9" t="str">
        <x:v>Customer receipt; exact bank amount used.</x:v>
      </x:c>
      <x:c r="M357" s="9" t="str">
        <x:v>8pfu7c</x:v>
      </x:c>
    </x:row>
    <x:row r="358" ht="15" hidden="0" customHeight="1">
      <x:c r="A358" s="9" t="str">
        <x:v>Payments basis</x:v>
      </x:c>
      <x:c r="B358" s="9" t="str">
        <x:v>1 Feb-31 Jul 2026</x:v>
      </x:c>
      <x:c r="C358" s="10" t="n">
        <x:v>46055.958333333336</x:v>
      </x:c>
      <x:c r="D358" s="9" t="str">
        <x:v>Purchase</x:v>
      </x:c>
      <x:c r="E358" s="9" t="str">
        <x:v>BNZ bank (pre-import)</x:v>
      </x:c>
      <x:c r="F358" s="9" t="str">
        <x:v>Resene - Wanaka 087 · 5996 · 420549031255</x:v>
      </x:c>
      <x:c r="G358" s="11" t="n">
        <x:v>387.37</x:v>
      </x:c>
      <x:c r="H358" s="11" t="n">
        <x:v>50.53</x:v>
      </x:c>
      <x:c r="I358" s="9" t="str">
        <x:v>Y</x:v>
      </x:c>
      <x:c r="J358" s="9" t="str">
        <x:v>High</x:v>
      </x:c>
      <x:c r="K358" s="9" t="str">
        <x:v>Bank + TradePilot</x:v>
      </x:c>
      <x:c r="L358" s="9" t="str">
        <x:v>Business purchase.</x:v>
      </x:c>
      <x:c r="M358" s="9" t="str">
        <x:v>y9b2np</x:v>
      </x:c>
    </x:row>
    <x:row r="359" ht="15" hidden="0" customHeight="1">
      <x:c r="A359" s="9" t="str">
        <x:v>Payments basis</x:v>
      </x:c>
      <x:c r="B359" s="9" t="str">
        <x:v>1 Feb-31 Jul 2026</x:v>
      </x:c>
      <x:c r="C359" s="10" t="n">
        <x:v>46056.958333333336</x:v>
      </x:c>
      <x:c r="D359" s="9" t="str">
        <x:v>Purchase</x:v>
      </x:c>
      <x:c r="E359" s="9" t="str">
        <x:v>BNZ bank (pre-import)</x:v>
      </x:c>
      <x:c r="F359" s="9" t="str">
        <x:v>MITRE 10 MEGA WANAKA · 5996 · 434667041430</x:v>
      </x:c>
      <x:c r="G359" s="11" t="n">
        <x:v>48.08</x:v>
      </x:c>
      <x:c r="H359" s="11" t="n">
        <x:v>6.27</x:v>
      </x:c>
      <x:c r="I359" s="9" t="str">
        <x:v>Y</x:v>
      </x:c>
      <x:c r="J359" s="9" t="str">
        <x:v>High</x:v>
      </x:c>
      <x:c r="K359" s="9" t="str">
        <x:v>Bank + TradePilot</x:v>
      </x:c>
      <x:c r="L359" s="9" t="str">
        <x:v>Business purchase.</x:v>
      </x:c>
      <x:c r="M359" s="9" t="str">
        <x:v>4is22s</x:v>
      </x:c>
    </x:row>
    <x:row r="360" ht="15" hidden="0" customHeight="1">
      <x:c r="A360" s="9" t="str">
        <x:v>Payments basis</x:v>
      </x:c>
      <x:c r="B360" s="9" t="str">
        <x:v>1 Feb-31 Jul 2026</x:v>
      </x:c>
      <x:c r="C360" s="10" t="n">
        <x:v>46056.958333333336</x:v>
      </x:c>
      <x:c r="D360" s="9" t="str">
        <x:v>Purchase</x:v>
      </x:c>
      <x:c r="E360" s="9" t="str">
        <x:v>BNZ bank (pre-import)</x:v>
      </x:c>
      <x:c r="F360" s="9" t="str">
        <x:v>Resene - Wanaka 087 · 5996 · 420549040830</x:v>
      </x:c>
      <x:c r="G360" s="11" t="n">
        <x:v>48.48</x:v>
      </x:c>
      <x:c r="H360" s="11" t="n">
        <x:v>6.32</x:v>
      </x:c>
      <x:c r="I360" s="9" t="str">
        <x:v>Y</x:v>
      </x:c>
      <x:c r="J360" s="9" t="str">
        <x:v>High</x:v>
      </x:c>
      <x:c r="K360" s="9" t="str">
        <x:v>Bank + TradePilot</x:v>
      </x:c>
      <x:c r="L360" s="9" t="str">
        <x:v>Business purchase.</x:v>
      </x:c>
      <x:c r="M360" s="9" t="str">
        <x:v>glgtrd</x:v>
      </x:c>
    </x:row>
    <x:row r="361" ht="15" hidden="0" customHeight="1">
      <x:c r="A361" s="9" t="str">
        <x:v>Payments basis</x:v>
      </x:c>
      <x:c r="B361" s="9" t="str">
        <x:v>1 Feb-31 Jul 2026</x:v>
      </x:c>
      <x:c r="C361" s="10" t="n">
        <x:v>46056.958333333336</x:v>
      </x:c>
      <x:c r="D361" s="9" t="str">
        <x:v>Purchase</x:v>
      </x:c>
      <x:c r="E361" s="9" t="str">
        <x:v>BNZ bank (pre-import)</x:v>
      </x:c>
      <x:c r="F361" s="9" t="str">
        <x:v>COLUMBUSCOFFEEWANAKA · 5996 · 434667041535</x:v>
      </x:c>
      <x:c r="G361" s="11" t="n">
        <x:v>10.2</x:v>
      </x:c>
      <x:c r="H361" s="11" t="n">
        <x:v>0</x:v>
      </x:c>
      <x:c r="I361" s="9" t="str">
        <x:v>N</x:v>
      </x:c>
      <x:c r="J361" s="9" t="str">
        <x:v>High</x:v>
      </x:c>
      <x:c r="K361" s="9" t="str">
        <x:v>Bank description</x:v>
      </x:c>
      <x:c r="L361" s="9" t="str">
        <x:v>Personal, transfer, tax, cash withdrawal, food or entertainment; no GST claim.</x:v>
      </x:c>
      <x:c r="M361" s="9" t="str">
        <x:v>x17tan</x:v>
      </x:c>
    </x:row>
    <x:row r="362" ht="15" hidden="0" customHeight="1">
      <x:c r="A362" s="9" t="str">
        <x:v>Payments basis</x:v>
      </x:c>
      <x:c r="B362" s="9" t="str">
        <x:v>1 Feb-31 Jul 2026</x:v>
      </x:c>
      <x:c r="C362" s="10" t="n">
        <x:v>46056.958333333336</x:v>
      </x:c>
      <x:c r="D362" s="9" t="str">
        <x:v>Purchase</x:v>
      </x:c>
      <x:c r="E362" s="9" t="str">
        <x:v>BNZ bank (pre-import)</x:v>
      </x:c>
      <x:c r="F362" s="9" t="str">
        <x:v>MITRE 10 MEGA WANAKA · 5996 · 434667041536</x:v>
      </x:c>
      <x:c r="G362" s="11" t="n">
        <x:v>18.12</x:v>
      </x:c>
      <x:c r="H362" s="11" t="n">
        <x:v>2.36</x:v>
      </x:c>
      <x:c r="I362" s="9" t="str">
        <x:v>Y</x:v>
      </x:c>
      <x:c r="J362" s="9" t="str">
        <x:v>High</x:v>
      </x:c>
      <x:c r="K362" s="9" t="str">
        <x:v>Bank + TradePilot</x:v>
      </x:c>
      <x:c r="L362" s="9" t="str">
        <x:v>Business purchase.</x:v>
      </x:c>
      <x:c r="M362" s="9" t="str">
        <x:v>4hir8j</x:v>
      </x:c>
    </x:row>
    <x:row r="363" ht="15" hidden="0" customHeight="1">
      <x:c r="A363" s="9" t="str">
        <x:v>Payments basis</x:v>
      </x:c>
      <x:c r="B363" s="9" t="str">
        <x:v>1 Feb-31 Jul 2026</x:v>
      </x:c>
      <x:c r="C363" s="10" t="n">
        <x:v>46056.958333333336</x:v>
      </x:c>
      <x:c r="D363" s="9" t="str">
        <x:v>Purchase</x:v>
      </x:c>
      <x:c r="E363" s="9" t="str">
        <x:v>BNZ bank (pre-import)</x:v>
      </x:c>
      <x:c r="F363" s="9" t="str">
        <x:v>One NZ Wanaka · 5996 · 420549041259</x:v>
      </x:c>
      <x:c r="G363" s="11" t="n">
        <x:v>20</x:v>
      </x:c>
      <x:c r="H363" s="11" t="n">
        <x:v>2.61</x:v>
      </x:c>
      <x:c r="I363" s="9" t="str">
        <x:v>Y</x:v>
      </x:c>
      <x:c r="J363" s="9" t="str">
        <x:v>High</x:v>
      </x:c>
      <x:c r="K363" s="9" t="str">
        <x:v>Bank + TradePilot</x:v>
      </x:c>
      <x:c r="L363" s="9" t="str">
        <x:v>Business purchase.</x:v>
      </x:c>
      <x:c r="M363" s="9" t="str">
        <x:v>cu6crn</x:v>
      </x:c>
    </x:row>
    <x:row r="364" ht="15" hidden="0" customHeight="1">
      <x:c r="A364" s="9" t="str">
        <x:v>Payments basis</x:v>
      </x:c>
      <x:c r="B364" s="9" t="str">
        <x:v>1 Feb-31 Jul 2026</x:v>
      </x:c>
      <x:c r="C364" s="10" t="n">
        <x:v>46058.958333333336</x:v>
      </x:c>
      <x:c r="D364" s="9" t="str">
        <x:v>Purchase</x:v>
      </x:c>
      <x:c r="E364" s="9" t="str">
        <x:v>BNZ bank (pre-import)</x:v>
      </x:c>
      <x:c r="F364" s="9" t="str">
        <x:v>ColumbusCoffeeWanaka · 554447505996 · 0499061130</x:v>
      </x:c>
      <x:c r="G364" s="11" t="n">
        <x:v>6.9</x:v>
      </x:c>
      <x:c r="H364" s="11" t="n">
        <x:v>0</x:v>
      </x:c>
      <x:c r="I364" s="9" t="str">
        <x:v>N</x:v>
      </x:c>
      <x:c r="J364" s="9" t="str">
        <x:v>High</x:v>
      </x:c>
      <x:c r="K364" s="9" t="str">
        <x:v>Bank description</x:v>
      </x:c>
      <x:c r="L364" s="9" t="str">
        <x:v>Personal, transfer, tax, cash withdrawal, food or entertainment; no GST claim.</x:v>
      </x:c>
      <x:c r="M364" s="9" t="str">
        <x:v>e3u2gw</x:v>
      </x:c>
    </x:row>
    <x:row r="365" ht="15" hidden="0" customHeight="1">
      <x:c r="A365" s="9" t="str">
        <x:v>Payments basis</x:v>
      </x:c>
      <x:c r="B365" s="9" t="str">
        <x:v>1 Feb-31 Jul 2026</x:v>
      </x:c>
      <x:c r="C365" s="10" t="n">
        <x:v>46058.958333333336</x:v>
      </x:c>
      <x:c r="D365" s="9" t="str">
        <x:v>Purchase</x:v>
      </x:c>
      <x:c r="E365" s="9" t="str">
        <x:v>BNZ bank (pre-import)</x:v>
      </x:c>
      <x:c r="F365" s="9" t="str">
        <x:v>MITRE 10 MEGA WANAKA · 5996 · 434667061321</x:v>
      </x:c>
      <x:c r="G365" s="11" t="n">
        <x:v>106.9</x:v>
      </x:c>
      <x:c r="H365" s="11" t="n">
        <x:v>13.94</x:v>
      </x:c>
      <x:c r="I365" s="9" t="str">
        <x:v>Y</x:v>
      </x:c>
      <x:c r="J365" s="9" t="str">
        <x:v>High</x:v>
      </x:c>
      <x:c r="K365" s="9" t="str">
        <x:v>Bank + TradePilot</x:v>
      </x:c>
      <x:c r="L365" s="9" t="str">
        <x:v>Business purchase.</x:v>
      </x:c>
      <x:c r="M365" s="9" t="str">
        <x:v>g5xtnx</x:v>
      </x:c>
    </x:row>
    <x:row r="366" ht="15" hidden="0" customHeight="1">
      <x:c r="A366" s="9" t="str">
        <x:v>Payments basis</x:v>
      </x:c>
      <x:c r="B366" s="9" t="str">
        <x:v>1 Feb-31 Jul 2026</x:v>
      </x:c>
      <x:c r="C366" s="10" t="n">
        <x:v>46059.958333333336</x:v>
      </x:c>
      <x:c r="D366" s="9" t="str">
        <x:v>Purchase</x:v>
      </x:c>
      <x:c r="E366" s="9" t="str">
        <x:v>BNZ bank (pre-import)</x:v>
      </x:c>
      <x:c r="F366" s="9" t="str">
        <x:v>UBER *EATS HELP.UBER · 5996 · 453241071255</x:v>
      </x:c>
      <x:c r="G366" s="11" t="n">
        <x:v>20.99</x:v>
      </x:c>
      <x:c r="H366" s="11" t="n">
        <x:v>0</x:v>
      </x:c>
      <x:c r="I366" s="9" t="str">
        <x:v>N</x:v>
      </x:c>
      <x:c r="J366" s="9" t="str">
        <x:v>High</x:v>
      </x:c>
      <x:c r="K366" s="9" t="str">
        <x:v>Bank description</x:v>
      </x:c>
      <x:c r="L366" s="9" t="str">
        <x:v>Personal, transfer, tax, cash withdrawal, food or entertainment; no GST claim.</x:v>
      </x:c>
      <x:c r="M366" s="9" t="str">
        <x:v>1wscv5</x:v>
      </x:c>
    </x:row>
    <x:row r="367" ht="15" hidden="0" customHeight="1">
      <x:c r="A367" s="9" t="str">
        <x:v>Payments basis</x:v>
      </x:c>
      <x:c r="B367" s="9" t="str">
        <x:v>1 Feb-31 Jul 2026</x:v>
      </x:c>
      <x:c r="C367" s="10" t="n">
        <x:v>46060.958333333336</x:v>
      </x:c>
      <x:c r="D367" s="9" t="str">
        <x:v>Purchase</x:v>
      </x:c>
      <x:c r="E367" s="9" t="str">
        <x:v>BNZ bank (pre-import)</x:v>
      </x:c>
      <x:c r="F367" s="9" t="str">
        <x:v>The little brewer · 554447505996 · 0499081243</x:v>
      </x:c>
      <x:c r="G367" s="11" t="n">
        <x:v>30.5</x:v>
      </x:c>
      <x:c r="H367" s="11" t="n">
        <x:v>0</x:v>
      </x:c>
      <x:c r="I367" s="9" t="str">
        <x:v>N</x:v>
      </x:c>
      <x:c r="J367" s="9" t="str">
        <x:v>High</x:v>
      </x:c>
      <x:c r="K367" s="9" t="str">
        <x:v>Bank description</x:v>
      </x:c>
      <x:c r="L367" s="9" t="str">
        <x:v>Personal, transfer, tax, cash withdrawal, food or entertainment; no GST claim.</x:v>
      </x:c>
      <x:c r="M367" s="9" t="str">
        <x:v>nvuesd</x:v>
      </x:c>
    </x:row>
    <x:row r="368" ht="15" hidden="0" customHeight="1">
      <x:c r="A368" s="9" t="str">
        <x:v>Payments basis</x:v>
      </x:c>
      <x:c r="B368" s="9" t="str">
        <x:v>1 Feb-31 Jul 2026</x:v>
      </x:c>
      <x:c r="C368" s="10" t="n">
        <x:v>46060.958333333336</x:v>
      </x:c>
      <x:c r="D368" s="9" t="str">
        <x:v>Sale</x:v>
      </x:c>
      <x:c r="E368" s="9" t="str">
        <x:v>BNZ bank</x:v>
      </x:c>
      <x:c r="F368" s="9" t="str">
        <x:v>JACKSON K B · P Jackson · Balance</x:v>
      </x:c>
      <x:c r="G368" s="11" t="n">
        <x:v>3864</x:v>
      </x:c>
      <x:c r="H368" s="11" t="n">
        <x:v>504</x:v>
      </x:c>
      <x:c r="I368" s="9" t="str">
        <x:v>Y</x:v>
      </x:c>
      <x:c r="J368" s="9" t="str">
        <x:v>High</x:v>
      </x:c>
      <x:c r="K368" s="9" t="str">
        <x:v>Bank receipt + TradePilot job/income record</x:v>
      </x:c>
      <x:c r="L368" s="9" t="str">
        <x:v>Customer receipt; exact bank amount used.</x:v>
      </x:c>
      <x:c r="M368" s="9" t="str">
        <x:v>jhrb7f</x:v>
      </x:c>
    </x:row>
    <x:row r="369" ht="15" hidden="0" customHeight="1">
      <x:c r="A369" s="9" t="str">
        <x:v>Payments basis</x:v>
      </x:c>
      <x:c r="B369" s="9" t="str">
        <x:v>1 Feb-31 Jul 2026</x:v>
      </x:c>
      <x:c r="C369" s="10" t="n">
        <x:v>46061.958333333336</x:v>
      </x:c>
      <x:c r="D369" s="9" t="str">
        <x:v>Purchase</x:v>
      </x:c>
      <x:c r="E369" s="9" t="str">
        <x:v>BNZ bank (pre-import)</x:v>
      </x:c>
      <x:c r="F369" s="9" t="str">
        <x:v>COLUMBUSCOFFEEWANAKA · 5996 · 434667091244</x:v>
      </x:c>
      <x:c r="G369" s="11" t="n">
        <x:v>10.2</x:v>
      </x:c>
      <x:c r="H369" s="11" t="n">
        <x:v>0</x:v>
      </x:c>
      <x:c r="I369" s="9" t="str">
        <x:v>N</x:v>
      </x:c>
      <x:c r="J369" s="9" t="str">
        <x:v>High</x:v>
      </x:c>
      <x:c r="K369" s="9" t="str">
        <x:v>Bank description</x:v>
      </x:c>
      <x:c r="L369" s="9" t="str">
        <x:v>Personal, transfer, tax, cash withdrawal, food or entertainment; no GST claim.</x:v>
      </x:c>
      <x:c r="M369" s="9" t="str">
        <x:v>5cl1o6</x:v>
      </x:c>
    </x:row>
    <x:row r="370" ht="15" hidden="0" customHeight="1">
      <x:c r="A370" s="9" t="str">
        <x:v>Payments basis</x:v>
      </x:c>
      <x:c r="B370" s="9" t="str">
        <x:v>1 Feb-31 Jul 2026</x:v>
      </x:c>
      <x:c r="C370" s="10" t="n">
        <x:v>46061.958333333336</x:v>
      </x:c>
      <x:c r="D370" s="9" t="str">
        <x:v>Purchase</x:v>
      </x:c>
      <x:c r="E370" s="9" t="str">
        <x:v>BNZ bank (pre-import)</x:v>
      </x:c>
      <x:c r="F370" s="9" t="str">
        <x:v>MITRE 10 MEGA WANAKA · 5996 · 434667091331</x:v>
      </x:c>
      <x:c r="G370" s="11" t="n">
        <x:v>176.57</x:v>
      </x:c>
      <x:c r="H370" s="11" t="n">
        <x:v>23.03</x:v>
      </x:c>
      <x:c r="I370" s="9" t="str">
        <x:v>Y</x:v>
      </x:c>
      <x:c r="J370" s="9" t="str">
        <x:v>High</x:v>
      </x:c>
      <x:c r="K370" s="9" t="str">
        <x:v>Bank + TradePilot</x:v>
      </x:c>
      <x:c r="L370" s="9" t="str">
        <x:v>Business purchase.</x:v>
      </x:c>
      <x:c r="M370" s="9" t="str">
        <x:v>6bkg4k</x:v>
      </x:c>
    </x:row>
    <x:row r="371" ht="15" hidden="0" customHeight="1">
      <x:c r="A371" s="9" t="str">
        <x:v>Payments basis</x:v>
      </x:c>
      <x:c r="B371" s="9" t="str">
        <x:v>1 Feb-31 Jul 2026</x:v>
      </x:c>
      <x:c r="C371" s="10" t="n">
        <x:v>46061.958333333336</x:v>
      </x:c>
      <x:c r="D371" s="9" t="str">
        <x:v>Purchase</x:v>
      </x:c>
      <x:c r="E371" s="9" t="str">
        <x:v>BNZ bank (pre-import)</x:v>
      </x:c>
      <x:c r="F371" s="9" t="str">
        <x:v>BP CONNECT WANAKA · 5996 · 492102091650</x:v>
      </x:c>
      <x:c r="G371" s="11" t="n">
        <x:v>54.89</x:v>
      </x:c>
      <x:c r="H371" s="11" t="n">
        <x:v>7.16</x:v>
      </x:c>
      <x:c r="I371" s="9" t="str">
        <x:v>Y</x:v>
      </x:c>
      <x:c r="J371" s="9" t="str">
        <x:v>High</x:v>
      </x:c>
      <x:c r="K371" s="9" t="str">
        <x:v>Bank + TradePilot</x:v>
      </x:c>
      <x:c r="L371" s="9" t="str">
        <x:v>Business purchase.</x:v>
      </x:c>
      <x:c r="M371" s="9" t="str">
        <x:v>sz01l8</x:v>
      </x:c>
    </x:row>
    <x:row r="372" ht="15" hidden="0" customHeight="1">
      <x:c r="A372" s="9" t="str">
        <x:v>Payments basis</x:v>
      </x:c>
      <x:c r="B372" s="9" t="str">
        <x:v>1 Feb-31 Jul 2026</x:v>
      </x:c>
      <x:c r="C372" s="10" t="n">
        <x:v>46061.958333333336</x:v>
      </x:c>
      <x:c r="D372" s="9" t="str">
        <x:v>Purchase</x:v>
      </x:c>
      <x:c r="E372" s="9" t="str">
        <x:v>BNZ bank (pre-import)</x:v>
      </x:c>
      <x:c r="F372" s="9" t="str">
        <x:v>PATAGONIA WANAKA · 5996 · 434667091305</x:v>
      </x:c>
      <x:c r="G372" s="11" t="n">
        <x:v>10</x:v>
      </x:c>
      <x:c r="H372" s="11" t="n">
        <x:v>0</x:v>
      </x:c>
      <x:c r="I372" s="9" t="str">
        <x:v>N</x:v>
      </x:c>
      <x:c r="J372" s="9" t="str">
        <x:v>High</x:v>
      </x:c>
      <x:c r="K372" s="9" t="str">
        <x:v>Bank description</x:v>
      </x:c>
      <x:c r="L372" s="9" t="str">
        <x:v>Personal, transfer, tax, cash withdrawal, food or entertainment; no GST claim.</x:v>
      </x:c>
      <x:c r="M372" s="9" t="str">
        <x:v>qqftmc</x:v>
      </x:c>
    </x:row>
    <x:row r="373" ht="15" hidden="0" customHeight="1">
      <x:c r="A373" s="9" t="str">
        <x:v>Payments basis</x:v>
      </x:c>
      <x:c r="B373" s="9" t="str">
        <x:v>1 Feb-31 Jul 2026</x:v>
      </x:c>
      <x:c r="C373" s="10" t="n">
        <x:v>46061.958333333336</x:v>
      </x:c>
      <x:c r="D373" s="9" t="str">
        <x:v>Purchase</x:v>
      </x:c>
      <x:c r="E373" s="9" t="str">
        <x:v>BNZ bank (pre-import)</x:v>
      </x:c>
      <x:c r="F373" s="9" t="str">
        <x:v>OPENAI *CHATGPT SUBS · 5996 · 449216092211</x:v>
      </x:c>
      <x:c r="G373" s="11" t="n">
        <x:v>39.68</x:v>
      </x:c>
      <x:c r="H373" s="11" t="n">
        <x:v>5.18</x:v>
      </x:c>
      <x:c r="I373" s="9" t="str">
        <x:v>Y</x:v>
      </x:c>
      <x:c r="J373" s="9" t="str">
        <x:v>Review</x:v>
      </x:c>
      <x:c r="K373" s="9" t="str">
        <x:v>Bank + TradePilot; check supplier invoice shows NZ GST</x:v>
      </x:c>
      <x:c r="L373" s="9" t="str">
        <x:v>Included provisionally; overseas software is claimable only if NZ GST was actually charged.</x:v>
      </x:c>
      <x:c r="M373" s="9" t="str">
        <x:v>thqu8j</x:v>
      </x:c>
    </x:row>
    <x:row r="374" ht="15" hidden="0" customHeight="1">
      <x:c r="A374" s="9" t="str">
        <x:v>Payments basis</x:v>
      </x:c>
      <x:c r="B374" s="9" t="str">
        <x:v>1 Feb-31 Jul 2026</x:v>
      </x:c>
      <x:c r="C374" s="10" t="n">
        <x:v>46063.958333333336</x:v>
      </x:c>
      <x:c r="D374" s="9" t="str">
        <x:v>Purchase</x:v>
      </x:c>
      <x:c r="E374" s="9" t="str">
        <x:v>BNZ bank (pre-import)</x:v>
      </x:c>
      <x:c r="F374" s="9" t="str">
        <x:v>PAPER PLUS WANAKA · 5996 · 455046111733</x:v>
      </x:c>
      <x:c r="G374" s="11" t="n">
        <x:v>2.4</x:v>
      </x:c>
      <x:c r="H374" s="11" t="n">
        <x:v>0</x:v>
      </x:c>
      <x:c r="I374" s="9" t="str">
        <x:v>N</x:v>
      </x:c>
      <x:c r="J374" s="9" t="str">
        <x:v>Review</x:v>
      </x:c>
      <x:c r="K374" s="9" t="str">
        <x:v>Bank only</x:v>
      </x:c>
      <x:c r="L374" s="9" t="str">
        <x:v>Not clearly business or GST-bearing from the available records.</x:v>
      </x:c>
      <x:c r="M374" s="9" t="str">
        <x:v>mhqjlq</x:v>
      </x:c>
    </x:row>
    <x:row r="375" ht="15" hidden="0" customHeight="1">
      <x:c r="A375" s="9" t="str">
        <x:v>Payments basis</x:v>
      </x:c>
      <x:c r="B375" s="9" t="str">
        <x:v>1 Feb-31 Jul 2026</x:v>
      </x:c>
      <x:c r="C375" s="10" t="n">
        <x:v>46063.958333333336</x:v>
      </x:c>
      <x:c r="D375" s="9" t="str">
        <x:v>Purchase</x:v>
      </x:c>
      <x:c r="E375" s="9" t="str">
        <x:v>BNZ bank (pre-import)</x:v>
      </x:c>
      <x:c r="F375" s="9" t="str">
        <x:v>Spotify P3F3E5AD21 · 5996 · 487115112155</x:v>
      </x:c>
      <x:c r="G375" s="11" t="n">
        <x:v>25.49</x:v>
      </x:c>
      <x:c r="H375" s="11" t="n">
        <x:v>0</x:v>
      </x:c>
      <x:c r="I375" s="9" t="str">
        <x:v>N</x:v>
      </x:c>
      <x:c r="J375" s="9" t="str">
        <x:v>High</x:v>
      </x:c>
      <x:c r="K375" s="9" t="str">
        <x:v>Bank description</x:v>
      </x:c>
      <x:c r="L375" s="9" t="str">
        <x:v>Personal, transfer, tax, cash withdrawal, food or entertainment; no GST claim.</x:v>
      </x:c>
      <x:c r="M375" s="9" t="str">
        <x:v>cqod1e</x:v>
      </x:c>
    </x:row>
    <x:row r="376" ht="15" hidden="0" customHeight="1">
      <x:c r="A376" s="9" t="str">
        <x:v>Payments basis</x:v>
      </x:c>
      <x:c r="B376" s="9" t="str">
        <x:v>1 Feb-31 Jul 2026</x:v>
      </x:c>
      <x:c r="C376" s="10" t="n">
        <x:v>46066.958333333336</x:v>
      </x:c>
      <x:c r="D376" s="9" t="str">
        <x:v>Purchase</x:v>
      </x:c>
      <x:c r="E376" s="9" t="str">
        <x:v>BNZ bank (pre-import)</x:v>
      </x:c>
      <x:c r="F376" s="9" t="str">
        <x:v>WWW.TRADEMAX.CO.NZ · 5996 · 448131131427</x:v>
      </x:c>
      <x:c r="G376" s="11" t="n">
        <x:v>1201.86</x:v>
      </x:c>
      <x:c r="H376" s="11" t="n">
        <x:v>156.76</x:v>
      </x:c>
      <x:c r="I376" s="9" t="str">
        <x:v>Y</x:v>
      </x:c>
      <x:c r="J376" s="9" t="str">
        <x:v>High</x:v>
      </x:c>
      <x:c r="K376" s="9" t="str">
        <x:v>Bank + TradePilot</x:v>
      </x:c>
      <x:c r="L376" s="9" t="str">
        <x:v>Business purchase.</x:v>
      </x:c>
      <x:c r="M376" s="9" t="str">
        <x:v>97nbao</x:v>
      </x:c>
    </x:row>
    <x:row r="377" ht="15" hidden="0" customHeight="1">
      <x:c r="A377" s="9" t="str">
        <x:v>Payments basis</x:v>
      </x:c>
      <x:c r="B377" s="9" t="str">
        <x:v>1 Feb-31 Jul 2026</x:v>
      </x:c>
      <x:c r="C377" s="10" t="n">
        <x:v>46066.958333333336</x:v>
      </x:c>
      <x:c r="D377" s="9" t="str">
        <x:v>Purchase</x:v>
      </x:c>
      <x:c r="E377" s="9" t="str">
        <x:v>BNZ bank (pre-import)</x:v>
      </x:c>
      <x:c r="F377" s="9" t="str">
        <x:v>Dulux</x:v>
      </x:c>
      <x:c r="G377" s="11" t="n">
        <x:v>216.85</x:v>
      </x:c>
      <x:c r="H377" s="11" t="n">
        <x:v>28.28</x:v>
      </x:c>
      <x:c r="I377" s="9" t="str">
        <x:v>Y</x:v>
      </x:c>
      <x:c r="J377" s="9" t="str">
        <x:v>High</x:v>
      </x:c>
      <x:c r="K377" s="9" t="str">
        <x:v>Bank + TradePilot</x:v>
      </x:c>
      <x:c r="L377" s="9" t="str">
        <x:v>Business purchase.</x:v>
      </x:c>
      <x:c r="M377" s="9" t="str">
        <x:v>eexw4t</x:v>
      </x:c>
    </x:row>
    <x:row r="378" ht="15" hidden="0" customHeight="1">
      <x:c r="A378" s="9" t="str">
        <x:v>Payments basis</x:v>
      </x:c>
      <x:c r="B378" s="9" t="str">
        <x:v>1 Feb-31 Jul 2026</x:v>
      </x:c>
      <x:c r="C378" s="10" t="n">
        <x:v>46066.958333333336</x:v>
      </x:c>
      <x:c r="D378" s="9" t="str">
        <x:v>Purchase</x:v>
      </x:c>
      <x:c r="E378" s="9" t="str">
        <x:v>BNZ bank (pre-import)</x:v>
      </x:c>
      <x:c r="F378" s="9" t="str">
        <x:v>ONE NZ · 5996 · 432129140854</x:v>
      </x:c>
      <x:c r="G378" s="11" t="n">
        <x:v>151.86</x:v>
      </x:c>
      <x:c r="H378" s="11" t="n">
        <x:v>19.81</x:v>
      </x:c>
      <x:c r="I378" s="9" t="str">
        <x:v>Y</x:v>
      </x:c>
      <x:c r="J378" s="9" t="str">
        <x:v>High</x:v>
      </x:c>
      <x:c r="K378" s="9" t="str">
        <x:v>Bank + TradePilot</x:v>
      </x:c>
      <x:c r="L378" s="9" t="str">
        <x:v>Business purchase.</x:v>
      </x:c>
      <x:c r="M378" s="9" t="str">
        <x:v>8ggz9u</x:v>
      </x:c>
    </x:row>
    <x:row r="379" ht="15" hidden="0" customHeight="1">
      <x:c r="A379" s="9" t="str">
        <x:v>Payments basis</x:v>
      </x:c>
      <x:c r="B379" s="9" t="str">
        <x:v>1 Feb-31 Jul 2026</x:v>
      </x:c>
      <x:c r="C379" s="10" t="n">
        <x:v>46066.958333333336</x:v>
      </x:c>
      <x:c r="D379" s="9" t="str">
        <x:v>Purchase</x:v>
      </x:c>
      <x:c r="E379" s="9" t="str">
        <x:v>BNZ bank (pre-import)</x:v>
      </x:c>
      <x:c r="F379" s="9" t="str">
        <x:v>CINEMA PARADISO · 5996 · 434667141219</x:v>
      </x:c>
      <x:c r="G379" s="11" t="n">
        <x:v>6.15</x:v>
      </x:c>
      <x:c r="H379" s="11" t="n">
        <x:v>0</x:v>
      </x:c>
      <x:c r="I379" s="9" t="str">
        <x:v>N</x:v>
      </x:c>
      <x:c r="J379" s="9" t="str">
        <x:v>High</x:v>
      </x:c>
      <x:c r="K379" s="9" t="str">
        <x:v>Bank description</x:v>
      </x:c>
      <x:c r="L379" s="9" t="str">
        <x:v>Personal, transfer, tax, cash withdrawal, food or entertainment; no GST claim.</x:v>
      </x:c>
      <x:c r="M379" s="9" t="str">
        <x:v>frgu8s</x:v>
      </x:c>
    </x:row>
    <x:row r="380" ht="15" hidden="0" customHeight="1">
      <x:c r="A380" s="9" t="str">
        <x:v>Payments basis</x:v>
      </x:c>
      <x:c r="B380" s="9" t="str">
        <x:v>1 Feb-31 Jul 2026</x:v>
      </x:c>
      <x:c r="C380" s="10" t="n">
        <x:v>46066.958333333336</x:v>
      </x:c>
      <x:c r="D380" s="9" t="str">
        <x:v>Purchase</x:v>
      </x:c>
      <x:c r="E380" s="9" t="str">
        <x:v>BNZ bank (pre-import)</x:v>
      </x:c>
      <x:c r="F380" s="9" t="str">
        <x:v>Paddle &amp; Pint · 5996 · 420549141455</x:v>
      </x:c>
      <x:c r="G380" s="11" t="n">
        <x:v>34</x:v>
      </x:c>
      <x:c r="H380" s="11" t="n">
        <x:v>0</x:v>
      </x:c>
      <x:c r="I380" s="9" t="str">
        <x:v>N</x:v>
      </x:c>
      <x:c r="J380" s="9" t="str">
        <x:v>High</x:v>
      </x:c>
      <x:c r="K380" s="9" t="str">
        <x:v>Bank description</x:v>
      </x:c>
      <x:c r="L380" s="9" t="str">
        <x:v>Personal, transfer, tax, cash withdrawal, food or entertainment; no GST claim.</x:v>
      </x:c>
      <x:c r="M380" s="9" t="str">
        <x:v>qf4fg6</x:v>
      </x:c>
    </x:row>
    <x:row r="381" ht="15" hidden="0" customHeight="1">
      <x:c r="A381" s="9" t="str">
        <x:v>Payments basis</x:v>
      </x:c>
      <x:c r="B381" s="9" t="str">
        <x:v>1 Feb-31 Jul 2026</x:v>
      </x:c>
      <x:c r="C381" s="10" t="n">
        <x:v>46067.958333333336</x:v>
      </x:c>
      <x:c r="D381" s="9" t="str">
        <x:v>Purchase</x:v>
      </x:c>
      <x:c r="E381" s="9" t="str">
        <x:v>BNZ bank (pre-import)</x:v>
      </x:c>
      <x:c r="F381" s="9" t="str">
        <x:v>BP CONNECT WANAKA · 5996 · 492102151054</x:v>
      </x:c>
      <x:c r="G381" s="11" t="n">
        <x:v>62.56</x:v>
      </x:c>
      <x:c r="H381" s="11" t="n">
        <x:v>8.16</x:v>
      </x:c>
      <x:c r="I381" s="9" t="str">
        <x:v>Y</x:v>
      </x:c>
      <x:c r="J381" s="9" t="str">
        <x:v>High</x:v>
      </x:c>
      <x:c r="K381" s="9" t="str">
        <x:v>Bank + TradePilot</x:v>
      </x:c>
      <x:c r="L381" s="9" t="str">
        <x:v>Business purchase.</x:v>
      </x:c>
      <x:c r="M381" s="9" t="str">
        <x:v>9ztxx9</x:v>
      </x:c>
    </x:row>
    <x:row r="382" ht="15" hidden="0" customHeight="1">
      <x:c r="A382" s="9" t="str">
        <x:v>Payments basis</x:v>
      </x:c>
      <x:c r="B382" s="9" t="str">
        <x:v>1 Feb-31 Jul 2026</x:v>
      </x:c>
      <x:c r="C382" s="10" t="n">
        <x:v>46067.958333333336</x:v>
      </x:c>
      <x:c r="D382" s="9" t="str">
        <x:v>Sale</x:v>
      </x:c>
      <x:c r="E382" s="9" t="str">
        <x:v>BNZ bank</x:v>
      </x:c>
      <x:c r="F382" s="9" t="str">
        <x:v>NICHOLSON  TD &amp; · 4 perrow st · Nicholson</x:v>
      </x:c>
      <x:c r="G382" s="11" t="n">
        <x:v>1086.75</x:v>
      </x:c>
      <x:c r="H382" s="11" t="n">
        <x:v>141.75</x:v>
      </x:c>
      <x:c r="I382" s="9" t="str">
        <x:v>Y</x:v>
      </x:c>
      <x:c r="J382" s="9" t="str">
        <x:v>High</x:v>
      </x:c>
      <x:c r="K382" s="9" t="str">
        <x:v>Bank receipt + TradePilot job/income record</x:v>
      </x:c>
      <x:c r="L382" s="9" t="str">
        <x:v>Customer receipt; exact bank amount used.</x:v>
      </x:c>
      <x:c r="M382" s="9" t="str">
        <x:v>dsufyc</x:v>
      </x:c>
    </x:row>
    <x:row r="383" ht="15" hidden="0" customHeight="1">
      <x:c r="A383" s="9" t="str">
        <x:v>Payments basis</x:v>
      </x:c>
      <x:c r="B383" s="9" t="str">
        <x:v>1 Feb-31 Jul 2026</x:v>
      </x:c>
      <x:c r="C383" s="10" t="n">
        <x:v>46068.958333333336</x:v>
      </x:c>
      <x:c r="D383" s="9" t="str">
        <x:v>Purchase</x:v>
      </x:c>
      <x:c r="E383" s="9" t="str">
        <x:v>BNZ bank (pre-import)</x:v>
      </x:c>
      <x:c r="F383" s="9" t="str">
        <x:v>NZAA ONLINE MEMBERSH · 5996 · 492102161647</x:v>
      </x:c>
      <x:c r="G383" s="11" t="n">
        <x:v>89</x:v>
      </x:c>
      <x:c r="H383" s="11" t="n">
        <x:v>0</x:v>
      </x:c>
      <x:c r="I383" s="9" t="str">
        <x:v>N</x:v>
      </x:c>
      <x:c r="J383" s="9" t="str">
        <x:v>Review</x:v>
      </x:c>
      <x:c r="K383" s="9" t="str">
        <x:v>Bank only</x:v>
      </x:c>
      <x:c r="L383" s="9" t="str">
        <x:v>Roadside membership excluded pending confirmation it relates to the business vehicle and GST was charged.</x:v>
      </x:c>
      <x:c r="M383" s="9" t="str">
        <x:v>uu0jvc</x:v>
      </x:c>
    </x:row>
    <x:row r="384" ht="15" hidden="0" customHeight="1">
      <x:c r="A384" s="9" t="str">
        <x:v>Payments basis</x:v>
      </x:c>
      <x:c r="B384" s="9" t="str">
        <x:v>1 Feb-31 Jul 2026</x:v>
      </x:c>
      <x:c r="C384" s="10" t="n">
        <x:v>46068.958333333336</x:v>
      </x:c>
      <x:c r="D384" s="9" t="str">
        <x:v>Purchase</x:v>
      </x:c>
      <x:c r="E384" s="9" t="str">
        <x:v>BNZ bank (pre-import)</x:v>
      </x:c>
      <x:c r="F384" s="9" t="str">
        <x:v>Wanaka Auto Repairs · 554447505996 · 0499161238</x:v>
      </x:c>
      <x:c r="G384" s="11" t="n">
        <x:v>294.48</x:v>
      </x:c>
      <x:c r="H384" s="11" t="n">
        <x:v>38.41</x:v>
      </x:c>
      <x:c r="I384" s="9" t="str">
        <x:v>Y</x:v>
      </x:c>
      <x:c r="J384" s="9" t="str">
        <x:v>High</x:v>
      </x:c>
      <x:c r="K384" s="9" t="str">
        <x:v>Bank + TradePilot</x:v>
      </x:c>
      <x:c r="L384" s="9" t="str">
        <x:v>Business purchase.</x:v>
      </x:c>
      <x:c r="M384" s="9" t="str">
        <x:v>6210fo</x:v>
      </x:c>
    </x:row>
    <x:row r="385" ht="15" hidden="0" customHeight="1">
      <x:c r="A385" s="9" t="str">
        <x:v>Payments basis</x:v>
      </x:c>
      <x:c r="B385" s="9" t="str">
        <x:v>1 Feb-31 Jul 2026</x:v>
      </x:c>
      <x:c r="C385" s="10" t="n">
        <x:v>46070.958333333336</x:v>
      </x:c>
      <x:c r="D385" s="9" t="str">
        <x:v>Purchase</x:v>
      </x:c>
      <x:c r="E385" s="9" t="str">
        <x:v>BNZ bank (pre-import)</x:v>
      </x:c>
      <x:c r="F385" s="9" t="str">
        <x:v>Resene - Wanaka 087 · 5996 · 420549181421</x:v>
      </x:c>
      <x:c r="G385" s="11" t="n">
        <x:v>180.25</x:v>
      </x:c>
      <x:c r="H385" s="11" t="n">
        <x:v>23.51</x:v>
      </x:c>
      <x:c r="I385" s="9" t="str">
        <x:v>Y</x:v>
      </x:c>
      <x:c r="J385" s="9" t="str">
        <x:v>High</x:v>
      </x:c>
      <x:c r="K385" s="9" t="str">
        <x:v>Bank + TradePilot</x:v>
      </x:c>
      <x:c r="L385" s="9" t="str">
        <x:v>Business purchase.</x:v>
      </x:c>
      <x:c r="M385" s="9" t="str">
        <x:v>3udoyu</x:v>
      </x:c>
    </x:row>
    <x:row r="386" ht="15" hidden="0" customHeight="1">
      <x:c r="A386" s="9" t="str">
        <x:v>Payments basis</x:v>
      </x:c>
      <x:c r="B386" s="9" t="str">
        <x:v>1 Feb-31 Jul 2026</x:v>
      </x:c>
      <x:c r="C386" s="10" t="n">
        <x:v>46070.958333333336</x:v>
      </x:c>
      <x:c r="D386" s="9" t="str">
        <x:v>Purchase</x:v>
      </x:c>
      <x:c r="E386" s="9" t="str">
        <x:v>BNZ bank (pre-import)</x:v>
      </x:c>
      <x:c r="F386" s="9" t="str">
        <x:v>MITRE 10 MEGA WANAKA · 5996 · 434667181514</x:v>
      </x:c>
      <x:c r="G386" s="11" t="n">
        <x:v>13.96</x:v>
      </x:c>
      <x:c r="H386" s="11" t="n">
        <x:v>1.82</x:v>
      </x:c>
      <x:c r="I386" s="9" t="str">
        <x:v>Y</x:v>
      </x:c>
      <x:c r="J386" s="9" t="str">
        <x:v>High</x:v>
      </x:c>
      <x:c r="K386" s="9" t="str">
        <x:v>Bank + TradePilot</x:v>
      </x:c>
      <x:c r="L386" s="9" t="str">
        <x:v>Business purchase.</x:v>
      </x:c>
      <x:c r="M386" s="9" t="str">
        <x:v>skn4sw</x:v>
      </x:c>
    </x:row>
    <x:row r="387" ht="15" hidden="0" customHeight="1">
      <x:c r="A387" s="9" t="str">
        <x:v>Payments basis</x:v>
      </x:c>
      <x:c r="B387" s="9" t="str">
        <x:v>1 Feb-31 Jul 2026</x:v>
      </x:c>
      <x:c r="C387" s="10" t="n">
        <x:v>46070.958333333336</x:v>
      </x:c>
      <x:c r="D387" s="9" t="str">
        <x:v>Purchase</x:v>
      </x:c>
      <x:c r="E387" s="9" t="str">
        <x:v>BNZ bank (pre-import)</x:v>
      </x:c>
      <x:c r="F387" s="9" t="str">
        <x:v>YouMoney · INTERNET XFR</x:v>
      </x:c>
      <x:c r="G387" s="11" t="n">
        <x:v>500</x:v>
      </x:c>
      <x:c r="H387" s="11" t="n">
        <x:v>0</x:v>
      </x:c>
      <x:c r="I387" s="9" t="str">
        <x:v>N</x:v>
      </x:c>
      <x:c r="J387" s="9" t="str">
        <x:v>High</x:v>
      </x:c>
      <x:c r="K387" s="9" t="str">
        <x:v>Bank description</x:v>
      </x:c>
      <x:c r="L387" s="9" t="str">
        <x:v>Personal, transfer, tax, cash withdrawal, food or entertainment; no GST claim.</x:v>
      </x:c>
      <x:c r="M387" s="9" t="str">
        <x:v>awlfji</x:v>
      </x:c>
    </x:row>
    <x:row r="388" ht="15" hidden="0" customHeight="1">
      <x:c r="A388" s="9" t="str">
        <x:v>Payments basis</x:v>
      </x:c>
      <x:c r="B388" s="9" t="str">
        <x:v>1 Feb-31 Jul 2026</x:v>
      </x:c>
      <x:c r="C388" s="10" t="n">
        <x:v>46072.958333333336</x:v>
      </x:c>
      <x:c r="D388" s="9" t="str">
        <x:v>Purchase</x:v>
      </x:c>
      <x:c r="E388" s="9" t="str">
        <x:v>BNZ bank (pre-import)</x:v>
      </x:c>
      <x:c r="F388" s="9" t="str">
        <x:v>THE BAKERY FACTORY S · 5996 · 455046201816</x:v>
      </x:c>
      <x:c r="G388" s="11" t="n">
        <x:v>23.75</x:v>
      </x:c>
      <x:c r="H388" s="11" t="n">
        <x:v>0</x:v>
      </x:c>
      <x:c r="I388" s="9" t="str">
        <x:v>N</x:v>
      </x:c>
      <x:c r="J388" s="9" t="str">
        <x:v>High</x:v>
      </x:c>
      <x:c r="K388" s="9" t="str">
        <x:v>Bank description</x:v>
      </x:c>
      <x:c r="L388" s="9" t="str">
        <x:v>Personal, transfer, tax, cash withdrawal, food or entertainment; no GST claim.</x:v>
      </x:c>
      <x:c r="M388" s="9" t="str">
        <x:v>jiyjtm</x:v>
      </x:c>
    </x:row>
    <x:row r="389" ht="15" hidden="0" customHeight="1">
      <x:c r="A389" s="9" t="str">
        <x:v>Payments basis</x:v>
      </x:c>
      <x:c r="B389" s="9" t="str">
        <x:v>1 Feb-31 Jul 2026</x:v>
      </x:c>
      <x:c r="C389" s="10" t="n">
        <x:v>46072.958333333336</x:v>
      </x:c>
      <x:c r="D389" s="9" t="str">
        <x:v>Purchase</x:v>
      </x:c>
      <x:c r="E389" s="9" t="str">
        <x:v>BNZ bank (pre-import)</x:v>
      </x:c>
      <x:c r="F389" s="9" t="str">
        <x:v>Liquorland Albert To · 5996 · 420549201711</x:v>
      </x:c>
      <x:c r="G389" s="11" t="n">
        <x:v>31.97</x:v>
      </x:c>
      <x:c r="H389" s="11" t="n">
        <x:v>0</x:v>
      </x:c>
      <x:c r="I389" s="9" t="str">
        <x:v>N</x:v>
      </x:c>
      <x:c r="J389" s="9" t="str">
        <x:v>High</x:v>
      </x:c>
      <x:c r="K389" s="9" t="str">
        <x:v>Bank description</x:v>
      </x:c>
      <x:c r="L389" s="9" t="str">
        <x:v>Personal, transfer, tax, cash withdrawal, food or entertainment; no GST claim.</x:v>
      </x:c>
      <x:c r="M389" s="9" t="str">
        <x:v>gz9qjf</x:v>
      </x:c>
    </x:row>
    <x:row r="390" ht="15" hidden="0" customHeight="1">
      <x:c r="A390" s="9" t="str">
        <x:v>Payments basis</x:v>
      </x:c>
      <x:c r="B390" s="9" t="str">
        <x:v>1 Feb-31 Jul 2026</x:v>
      </x:c>
      <x:c r="C390" s="10" t="n">
        <x:v>46073.958333333336</x:v>
      </x:c>
      <x:c r="D390" s="9" t="str">
        <x:v>Purchase</x:v>
      </x:c>
      <x:c r="E390" s="9" t="str">
        <x:v>BNZ bank (pre-import)</x:v>
      </x:c>
      <x:c r="F390" s="9" t="str">
        <x:v>THE ALBIE · 5996 · 434667211622</x:v>
      </x:c>
      <x:c r="G390" s="11" t="n">
        <x:v>40.48</x:v>
      </x:c>
      <x:c r="H390" s="11" t="n">
        <x:v>0</x:v>
      </x:c>
      <x:c r="I390" s="9" t="str">
        <x:v>N</x:v>
      </x:c>
      <x:c r="J390" s="9" t="str">
        <x:v>High</x:v>
      </x:c>
      <x:c r="K390" s="9" t="str">
        <x:v>Bank description</x:v>
      </x:c>
      <x:c r="L390" s="9" t="str">
        <x:v>Personal, transfer, tax, cash withdrawal, food or entertainment; no GST claim.</x:v>
      </x:c>
      <x:c r="M390" s="9" t="str">
        <x:v>1dtmnk</x:v>
      </x:c>
    </x:row>
    <x:row r="391" ht="15" hidden="0" customHeight="1">
      <x:c r="A391" s="9" t="str">
        <x:v>Payments basis</x:v>
      </x:c>
      <x:c r="B391" s="9" t="str">
        <x:v>1 Feb-31 Jul 2026</x:v>
      </x:c>
      <x:c r="C391" s="10" t="n">
        <x:v>46073.958333333336</x:v>
      </x:c>
      <x:c r="D391" s="9" t="str">
        <x:v>Sale</x:v>
      </x:c>
      <x:c r="E391" s="9" t="str">
        <x:v>BNZ bank</x:v>
      </x:c>
      <x:c r="F391" s="9" t="str">
        <x:v>IVY LANE COTT · Hilarywaller · 1Ivy Lane</x:v>
      </x:c>
      <x:c r="G391" s="11" t="n">
        <x:v>977.5</x:v>
      </x:c>
      <x:c r="H391" s="11" t="n">
        <x:v>127.5</x:v>
      </x:c>
      <x:c r="I391" s="9" t="str">
        <x:v>Y</x:v>
      </x:c>
      <x:c r="J391" s="9" t="str">
        <x:v>High</x:v>
      </x:c>
      <x:c r="K391" s="9" t="str">
        <x:v>Bank receipt + TradePilot job/income record</x:v>
      </x:c>
      <x:c r="L391" s="9" t="str">
        <x:v>Customer receipt; exact bank amount used.</x:v>
      </x:c>
      <x:c r="M391" s="9" t="str">
        <x:v>lscy0z</x:v>
      </x:c>
    </x:row>
    <x:row r="392" ht="15" hidden="0" customHeight="1">
      <x:c r="A392" s="9" t="str">
        <x:v>Payments basis</x:v>
      </x:c>
      <x:c r="B392" s="9" t="str">
        <x:v>1 Feb-31 Jul 2026</x:v>
      </x:c>
      <x:c r="C392" s="10" t="n">
        <x:v>46074.958333333336</x:v>
      </x:c>
      <x:c r="D392" s="9" t="str">
        <x:v>Purchase</x:v>
      </x:c>
      <x:c r="E392" s="9" t="str">
        <x:v>BNZ bank (pre-import)</x:v>
      </x:c>
      <x:c r="F392" s="9" t="str">
        <x:v>YouMoney · INTERNET XFR</x:v>
      </x:c>
      <x:c r="G392" s="11" t="n">
        <x:v>400</x:v>
      </x:c>
      <x:c r="H392" s="11" t="n">
        <x:v>0</x:v>
      </x:c>
      <x:c r="I392" s="9" t="str">
        <x:v>N</x:v>
      </x:c>
      <x:c r="J392" s="9" t="str">
        <x:v>High</x:v>
      </x:c>
      <x:c r="K392" s="9" t="str">
        <x:v>Bank description</x:v>
      </x:c>
      <x:c r="L392" s="9" t="str">
        <x:v>Personal, transfer, tax, cash withdrawal, food or entertainment; no GST claim.</x:v>
      </x:c>
      <x:c r="M392" s="9" t="str">
        <x:v>l7ax10</x:v>
      </x:c>
    </x:row>
    <x:row r="393" ht="15" hidden="0" customHeight="1">
      <x:c r="A393" s="9" t="str">
        <x:v>Payments basis</x:v>
      </x:c>
      <x:c r="B393" s="9" t="str">
        <x:v>1 Feb-31 Jul 2026</x:v>
      </x:c>
      <x:c r="C393" s="10" t="n">
        <x:v>46074.958333333336</x:v>
      </x:c>
      <x:c r="D393" s="9" t="str">
        <x:v>Purchase</x:v>
      </x:c>
      <x:c r="E393" s="9" t="str">
        <x:v>BNZ bank (pre-import)</x:v>
      </x:c>
      <x:c r="F393" s="9" t="str">
        <x:v>BP CONNECT WANAKA · 5996 · 492102221009</x:v>
      </x:c>
      <x:c r="G393" s="11" t="n">
        <x:v>33.41</x:v>
      </x:c>
      <x:c r="H393" s="11" t="n">
        <x:v>4.36</x:v>
      </x:c>
      <x:c r="I393" s="9" t="str">
        <x:v>Y</x:v>
      </x:c>
      <x:c r="J393" s="9" t="str">
        <x:v>High</x:v>
      </x:c>
      <x:c r="K393" s="9" t="str">
        <x:v>Bank + TradePilot</x:v>
      </x:c>
      <x:c r="L393" s="9" t="str">
        <x:v>Business purchase.</x:v>
      </x:c>
      <x:c r="M393" s="9" t="str">
        <x:v>yms3gx</x:v>
      </x:c>
    </x:row>
    <x:row r="394" ht="15" hidden="0" customHeight="1">
      <x:c r="A394" s="9" t="str">
        <x:v>Payments basis</x:v>
      </x:c>
      <x:c r="B394" s="9" t="str">
        <x:v>1 Feb-31 Jul 2026</x:v>
      </x:c>
      <x:c r="C394" s="10" t="n">
        <x:v>46074.958333333336</x:v>
      </x:c>
      <x:c r="D394" s="9" t="str">
        <x:v>Purchase</x:v>
      </x:c>
      <x:c r="E394" s="9" t="str">
        <x:v>BNZ bank (pre-import)</x:v>
      </x:c>
      <x:c r="F394" s="9" t="str">
        <x:v>Paddle &amp; Pint · 5996 · 420549221840</x:v>
      </x:c>
      <x:c r="G394" s="11" t="n">
        <x:v>22</x:v>
      </x:c>
      <x:c r="H394" s="11" t="n">
        <x:v>0</x:v>
      </x:c>
      <x:c r="I394" s="9" t="str">
        <x:v>N</x:v>
      </x:c>
      <x:c r="J394" s="9" t="str">
        <x:v>High</x:v>
      </x:c>
      <x:c r="K394" s="9" t="str">
        <x:v>Bank description</x:v>
      </x:c>
      <x:c r="L394" s="9" t="str">
        <x:v>Personal, transfer, tax, cash withdrawal, food or entertainment; no GST claim.</x:v>
      </x:c>
      <x:c r="M394" s="9" t="str">
        <x:v>jmebf5</x:v>
      </x:c>
    </x:row>
    <x:row r="395" ht="15" hidden="0" customHeight="1">
      <x:c r="A395" s="9" t="str">
        <x:v>Payments basis</x:v>
      </x:c>
      <x:c r="B395" s="9" t="str">
        <x:v>1 Feb-31 Jul 2026</x:v>
      </x:c>
      <x:c r="C395" s="10" t="n">
        <x:v>46075.958333333336</x:v>
      </x:c>
      <x:c r="D395" s="9" t="str">
        <x:v>Purchase</x:v>
      </x:c>
      <x:c r="E395" s="9" t="str">
        <x:v>BNZ bank (pre-import)</x:v>
      </x:c>
      <x:c r="F395" s="9" t="str">
        <x:v>Resene - Wanaka 087 · 5996 · 420549230858</x:v>
      </x:c>
      <x:c r="G395" s="11" t="n">
        <x:v>180.25</x:v>
      </x:c>
      <x:c r="H395" s="11" t="n">
        <x:v>23.51</x:v>
      </x:c>
      <x:c r="I395" s="9" t="str">
        <x:v>Y</x:v>
      </x:c>
      <x:c r="J395" s="9" t="str">
        <x:v>High</x:v>
      </x:c>
      <x:c r="K395" s="9" t="str">
        <x:v>Bank + TradePilot</x:v>
      </x:c>
      <x:c r="L395" s="9" t="str">
        <x:v>Business purchase.</x:v>
      </x:c>
      <x:c r="M395" s="9" t="str">
        <x:v>jaauaz</x:v>
      </x:c>
    </x:row>
    <x:row r="396" ht="15" hidden="0" customHeight="1">
      <x:c r="A396" s="9" t="str">
        <x:v>Payments basis</x:v>
      </x:c>
      <x:c r="B396" s="9" t="str">
        <x:v>1 Feb-31 Jul 2026</x:v>
      </x:c>
      <x:c r="C396" s="10" t="n">
        <x:v>46075.958333333336</x:v>
      </x:c>
      <x:c r="D396" s="9" t="str">
        <x:v>Purchase</x:v>
      </x:c>
      <x:c r="E396" s="9" t="str">
        <x:v>BNZ bank (pre-import)</x:v>
      </x:c>
      <x:c r="F396" s="9" t="str">
        <x:v>Resene - Wanaka 087 · 5996 · 420549230900</x:v>
      </x:c>
      <x:c r="G396" s="11" t="n">
        <x:v>19.95</x:v>
      </x:c>
      <x:c r="H396" s="11" t="n">
        <x:v>2.6</x:v>
      </x:c>
      <x:c r="I396" s="9" t="str">
        <x:v>Y</x:v>
      </x:c>
      <x:c r="J396" s="9" t="str">
        <x:v>High</x:v>
      </x:c>
      <x:c r="K396" s="9" t="str">
        <x:v>Bank + TradePilot</x:v>
      </x:c>
      <x:c r="L396" s="9" t="str">
        <x:v>Business purchase.</x:v>
      </x:c>
      <x:c r="M396" s="9" t="str">
        <x:v>ltkofd</x:v>
      </x:c>
    </x:row>
    <x:row r="397" ht="15" hidden="0" customHeight="1">
      <x:c r="A397" s="9" t="str">
        <x:v>Payments basis</x:v>
      </x:c>
      <x:c r="B397" s="9" t="str">
        <x:v>1 Feb-31 Jul 2026</x:v>
      </x:c>
      <x:c r="C397" s="10" t="n">
        <x:v>46076.958333333336</x:v>
      </x:c>
      <x:c r="D397" s="9" t="str">
        <x:v>Purchase</x:v>
      </x:c>
      <x:c r="E397" s="9" t="str">
        <x:v>BNZ bank (pre-import)</x:v>
      </x:c>
      <x:c r="F397" s="9" t="str">
        <x:v>COLUMBUSCOFFEEWANAKA · 5996 · 434667241537</x:v>
      </x:c>
      <x:c r="G397" s="11" t="n">
        <x:v>14.07</x:v>
      </x:c>
      <x:c r="H397" s="11" t="n">
        <x:v>0</x:v>
      </x:c>
      <x:c r="I397" s="9" t="str">
        <x:v>N</x:v>
      </x:c>
      <x:c r="J397" s="9" t="str">
        <x:v>High</x:v>
      </x:c>
      <x:c r="K397" s="9" t="str">
        <x:v>Bank description</x:v>
      </x:c>
      <x:c r="L397" s="9" t="str">
        <x:v>Personal, transfer, tax, cash withdrawal, food or entertainment; no GST claim.</x:v>
      </x:c>
      <x:c r="M397" s="9" t="str">
        <x:v>1chhku</x:v>
      </x:c>
    </x:row>
    <x:row r="398" ht="15" hidden="0" customHeight="1">
      <x:c r="A398" s="9" t="str">
        <x:v>Payments basis</x:v>
      </x:c>
      <x:c r="B398" s="9" t="str">
        <x:v>1 Feb-31 Jul 2026</x:v>
      </x:c>
      <x:c r="C398" s="10" t="n">
        <x:v>46076.958333333336</x:v>
      </x:c>
      <x:c r="D398" s="9" t="str">
        <x:v>Purchase</x:v>
      </x:c>
      <x:c r="E398" s="9" t="str">
        <x:v>BNZ bank (pre-import)</x:v>
      </x:c>
      <x:c r="F398" s="9" t="str">
        <x:v>MITRE 10 MEGA WANAKA · 5996 · 434667241543</x:v>
      </x:c>
      <x:c r="G398" s="11" t="n">
        <x:v>95.43</x:v>
      </x:c>
      <x:c r="H398" s="11" t="n">
        <x:v>12.45</x:v>
      </x:c>
      <x:c r="I398" s="9" t="str">
        <x:v>Y</x:v>
      </x:c>
      <x:c r="J398" s="9" t="str">
        <x:v>High</x:v>
      </x:c>
      <x:c r="K398" s="9" t="str">
        <x:v>Bank + TradePilot</x:v>
      </x:c>
      <x:c r="L398" s="9" t="str">
        <x:v>Business purchase.</x:v>
      </x:c>
      <x:c r="M398" s="9" t="str">
        <x:v>bm2udu</x:v>
      </x:c>
    </x:row>
    <x:row r="399" ht="15" hidden="0" customHeight="1">
      <x:c r="A399" s="9" t="str">
        <x:v>Payments basis</x:v>
      </x:c>
      <x:c r="B399" s="9" t="str">
        <x:v>1 Feb-31 Jul 2026</x:v>
      </x:c>
      <x:c r="C399" s="10" t="n">
        <x:v>46076.958333333336</x:v>
      </x:c>
      <x:c r="D399" s="9" t="str">
        <x:v>Purchase</x:v>
      </x:c>
      <x:c r="E399" s="9" t="str">
        <x:v>BNZ bank (pre-import)</x:v>
      </x:c>
      <x:c r="F399" s="9" t="str">
        <x:v>Resene - Wanaka 087 · 5996 · 420549241208</x:v>
      </x:c>
      <x:c r="G399" s="11" t="n">
        <x:v>20.02</x:v>
      </x:c>
      <x:c r="H399" s="11" t="n">
        <x:v>2.61</x:v>
      </x:c>
      <x:c r="I399" s="9" t="str">
        <x:v>Y</x:v>
      </x:c>
      <x:c r="J399" s="9" t="str">
        <x:v>High</x:v>
      </x:c>
      <x:c r="K399" s="9" t="str">
        <x:v>Bank + TradePilot</x:v>
      </x:c>
      <x:c r="L399" s="9" t="str">
        <x:v>Business purchase.</x:v>
      </x:c>
      <x:c r="M399" s="9" t="str">
        <x:v>nwp2br</x:v>
      </x:c>
    </x:row>
    <x:row r="400" ht="15" hidden="0" customHeight="1">
      <x:c r="A400" s="9" t="str">
        <x:v>Payments basis</x:v>
      </x:c>
      <x:c r="B400" s="9" t="str">
        <x:v>1 Feb-31 Jul 2026</x:v>
      </x:c>
      <x:c r="C400" s="10" t="n">
        <x:v>46076.958333333336</x:v>
      </x:c>
      <x:c r="D400" s="9" t="str">
        <x:v>Sale</x:v>
      </x:c>
      <x:c r="E400" s="9" t="str">
        <x:v>BNZ bank</x:v>
      </x:c>
      <x:c r="F400" s="9" t="str">
        <x:v>Cairns L J</x:v>
      </x:c>
      <x:c r="G400" s="11" t="n">
        <x:v>414</x:v>
      </x:c>
      <x:c r="H400" s="11" t="n">
        <x:v>54</x:v>
      </x:c>
      <x:c r="I400" s="9" t="str">
        <x:v>Y</x:v>
      </x:c>
      <x:c r="J400" s="9" t="str">
        <x:v>High</x:v>
      </x:c>
      <x:c r="K400" s="9" t="str">
        <x:v>Bank receipt + TradePilot job/income record</x:v>
      </x:c>
      <x:c r="L400" s="9" t="str">
        <x:v>Customer receipt; exact bank amount used.</x:v>
      </x:c>
      <x:c r="M400" s="9" t="str">
        <x:v>fgooqq</x:v>
      </x:c>
    </x:row>
    <x:row r="401" ht="15" hidden="0" customHeight="1">
      <x:c r="A401" s="9" t="str">
        <x:v>Payments basis</x:v>
      </x:c>
      <x:c r="B401" s="9" t="str">
        <x:v>1 Feb-31 Jul 2026</x:v>
      </x:c>
      <x:c r="C401" s="10" t="n">
        <x:v>46077.958333333336</x:v>
      </x:c>
      <x:c r="D401" s="9" t="str">
        <x:v>Purchase</x:v>
      </x:c>
      <x:c r="E401" s="9" t="str">
        <x:v>BNZ bank (pre-import)</x:v>
      </x:c>
      <x:c r="F401" s="9" t="str">
        <x:v>Resene - Wanaka 087 · 5996 · 420549251415</x:v>
      </x:c>
      <x:c r="G401" s="11" t="n">
        <x:v>33.38</x:v>
      </x:c>
      <x:c r="H401" s="11" t="n">
        <x:v>4.35</x:v>
      </x:c>
      <x:c r="I401" s="9" t="str">
        <x:v>Y</x:v>
      </x:c>
      <x:c r="J401" s="9" t="str">
        <x:v>High</x:v>
      </x:c>
      <x:c r="K401" s="9" t="str">
        <x:v>Bank + TradePilot</x:v>
      </x:c>
      <x:c r="L401" s="9" t="str">
        <x:v>Business purchase.</x:v>
      </x:c>
      <x:c r="M401" s="9" t="str">
        <x:v>vhgmzu</x:v>
      </x:c>
    </x:row>
    <x:row r="402" ht="15" hidden="0" customHeight="1">
      <x:c r="A402" s="9" t="str">
        <x:v>Payments basis</x:v>
      </x:c>
      <x:c r="B402" s="9" t="str">
        <x:v>1 Feb-31 Jul 2026</x:v>
      </x:c>
      <x:c r="C402" s="10" t="n">
        <x:v>46077.958333333336</x:v>
      </x:c>
      <x:c r="D402" s="9" t="str">
        <x:v>Purchase</x:v>
      </x:c>
      <x:c r="E402" s="9" t="str">
        <x:v>BNZ bank (pre-import)</x:v>
      </x:c>
      <x:c r="F402" s="9" t="str">
        <x:v>WITHDRAWAL · 554447505996 · 1212251655</x:v>
      </x:c>
      <x:c r="G402" s="11" t="n">
        <x:v>800</x:v>
      </x:c>
      <x:c r="H402" s="11" t="n">
        <x:v>0</x:v>
      </x:c>
      <x:c r="I402" s="9" t="str">
        <x:v>N</x:v>
      </x:c>
      <x:c r="J402" s="9" t="str">
        <x:v>High</x:v>
      </x:c>
      <x:c r="K402" s="9" t="str">
        <x:v>Bank description</x:v>
      </x:c>
      <x:c r="L402" s="9" t="str">
        <x:v>Personal, transfer, tax, cash withdrawal, food or entertainment; no GST claim.</x:v>
      </x:c>
      <x:c r="M402" s="9" t="str">
        <x:v>8xcd61</x:v>
      </x:c>
    </x:row>
    <x:row r="403" ht="15" hidden="0" customHeight="1">
      <x:c r="A403" s="9" t="str">
        <x:v>Payments basis</x:v>
      </x:c>
      <x:c r="B403" s="9" t="str">
        <x:v>1 Feb-31 Jul 2026</x:v>
      </x:c>
      <x:c r="C403" s="10" t="n">
        <x:v>46077.958333333336</x:v>
      </x:c>
      <x:c r="D403" s="9" t="str">
        <x:v>Purchase</x:v>
      </x:c>
      <x:c r="E403" s="9" t="str">
        <x:v>BNZ bank (pre-import)</x:v>
      </x:c>
      <x:c r="F403" s="9" t="str">
        <x:v>WITHDRAWAL · 554447505996 · 1212251656</x:v>
      </x:c>
      <x:c r="G403" s="11" t="n">
        <x:v>800</x:v>
      </x:c>
      <x:c r="H403" s="11" t="n">
        <x:v>0</x:v>
      </x:c>
      <x:c r="I403" s="9" t="str">
        <x:v>N</x:v>
      </x:c>
      <x:c r="J403" s="9" t="str">
        <x:v>High</x:v>
      </x:c>
      <x:c r="K403" s="9" t="str">
        <x:v>Bank description</x:v>
      </x:c>
      <x:c r="L403" s="9" t="str">
        <x:v>Personal, transfer, tax, cash withdrawal, food or entertainment; no GST claim.</x:v>
      </x:c>
      <x:c r="M403" s="9" t="str">
        <x:v>8xcd62</x:v>
      </x:c>
    </x:row>
    <x:row r="404" ht="15" hidden="0" customHeight="1">
      <x:c r="A404" s="9" t="str">
        <x:v>Payments basis</x:v>
      </x:c>
      <x:c r="B404" s="9" t="str">
        <x:v>1 Feb-31 Jul 2026</x:v>
      </x:c>
      <x:c r="C404" s="10" t="n">
        <x:v>46077.958333333336</x:v>
      </x:c>
      <x:c r="D404" s="9" t="str">
        <x:v>Purchase</x:v>
      </x:c>
      <x:c r="E404" s="9" t="str">
        <x:v>BNZ bank (pre-import)</x:v>
      </x:c>
      <x:c r="F404" s="9" t="str">
        <x:v>R F Builders · Kaj960 van</x:v>
      </x:c>
      <x:c r="G404" s="11" t="n">
        <x:v>7900</x:v>
      </x:c>
      <x:c r="H404" s="11" t="n">
        <x:v>0</x:v>
      </x:c>
      <x:c r="I404" s="9" t="str">
        <x:v>N</x:v>
      </x:c>
      <x:c r="J404" s="9" t="str">
        <x:v>Review</x:v>
      </x:c>
      <x:c r="K404" s="9" t="str">
        <x:v>Bank only; taxable supply information needed</x:v>
      </x:c>
      <x:c r="L404" s="9" t="str">
        <x:v>Possible $7,900 van purchase. Claim only if seller was GST-registered and Lakeside holds the required supply information.</x:v>
      </x:c>
      <x:c r="M404" s="9" t="str">
        <x:v>9e8r3t</x:v>
      </x:c>
    </x:row>
    <x:row r="405" ht="15" hidden="0" customHeight="1">
      <x:c r="A405" s="9" t="str">
        <x:v>Payments basis</x:v>
      </x:c>
      <x:c r="B405" s="9" t="str">
        <x:v>1 Feb-31 Jul 2026</x:v>
      </x:c>
      <x:c r="C405" s="10" t="n">
        <x:v>46077.958333333336</x:v>
      </x:c>
      <x:c r="D405" s="9" t="str">
        <x:v>Sale</x:v>
      </x:c>
      <x:c r="E405" s="9" t="str">
        <x:v>BNZ bank</x:v>
      </x:c>
      <x:c r="F405" s="9" t="str">
        <x:v>NELSON&amp;MEAKIN · 56 Dale St · DanyaMeakins</x:v>
      </x:c>
      <x:c r="G405" s="11" t="n">
        <x:v>294.4</x:v>
      </x:c>
      <x:c r="H405" s="11" t="n">
        <x:v>38.4</x:v>
      </x:c>
      <x:c r="I405" s="9" t="str">
        <x:v>Y</x:v>
      </x:c>
      <x:c r="J405" s="9" t="str">
        <x:v>High</x:v>
      </x:c>
      <x:c r="K405" s="9" t="str">
        <x:v>Bank receipt + TradePilot job/income record</x:v>
      </x:c>
      <x:c r="L405" s="9" t="str">
        <x:v>Customer receipt; exact bank amount used.</x:v>
      </x:c>
      <x:c r="M405" s="9" t="str">
        <x:v>pf58ue</x:v>
      </x:c>
    </x:row>
    <x:row r="406" ht="15" hidden="0" customHeight="1">
      <x:c r="A406" s="9" t="str">
        <x:v>Payments basis</x:v>
      </x:c>
      <x:c r="B406" s="9" t="str">
        <x:v>1 Feb-31 Jul 2026</x:v>
      </x:c>
      <x:c r="C406" s="10" t="n">
        <x:v>46077.958333333336</x:v>
      </x:c>
      <x:c r="D406" s="9" t="str">
        <x:v>Sale</x:v>
      </x:c>
      <x:c r="E406" s="9" t="str">
        <x:v>BNZ bank</x:v>
      </x:c>
      <x:c r="F406" s="9" t="str">
        <x:v>C E &amp; S S GUNN · 50 dale st</x:v>
      </x:c>
      <x:c r="G406" s="11" t="n">
        <x:v>2668</x:v>
      </x:c>
      <x:c r="H406" s="11" t="n">
        <x:v>348</x:v>
      </x:c>
      <x:c r="I406" s="9" t="str">
        <x:v>Y</x:v>
      </x:c>
      <x:c r="J406" s="9" t="str">
        <x:v>High</x:v>
      </x:c>
      <x:c r="K406" s="9" t="str">
        <x:v>Bank receipt + TradePilot job/income record</x:v>
      </x:c>
      <x:c r="L406" s="9" t="str">
        <x:v>Customer receipt; exact bank amount used.</x:v>
      </x:c>
      <x:c r="M406" s="9" t="str">
        <x:v>turq0c</x:v>
      </x:c>
    </x:row>
    <x:row r="407" ht="15" hidden="0" customHeight="1">
      <x:c r="A407" s="9" t="str">
        <x:v>Payments basis</x:v>
      </x:c>
      <x:c r="B407" s="9" t="str">
        <x:v>1 Feb-31 Jul 2026</x:v>
      </x:c>
      <x:c r="C407" s="10" t="n">
        <x:v>46078.958333333336</x:v>
      </x:c>
      <x:c r="D407" s="9" t="str">
        <x:v>Purchase</x:v>
      </x:c>
      <x:c r="E407" s="9" t="str">
        <x:v>BNZ bank (pre-import)</x:v>
      </x:c>
      <x:c r="F407" s="9" t="str">
        <x:v>BP CONNECT WANAKA · 5996 · 492102261539</x:v>
      </x:c>
      <x:c r="G407" s="11" t="n">
        <x:v>130.38</x:v>
      </x:c>
      <x:c r="H407" s="11" t="n">
        <x:v>17.01</x:v>
      </x:c>
      <x:c r="I407" s="9" t="str">
        <x:v>Y</x:v>
      </x:c>
      <x:c r="J407" s="9" t="str">
        <x:v>High</x:v>
      </x:c>
      <x:c r="K407" s="9" t="str">
        <x:v>Bank + TradePilot</x:v>
      </x:c>
      <x:c r="L407" s="9" t="str">
        <x:v>Business purchase.</x:v>
      </x:c>
      <x:c r="M407" s="9" t="str">
        <x:v>t68o9h</x:v>
      </x:c>
    </x:row>
    <x:row r="408" ht="15" hidden="0" customHeight="1">
      <x:c r="A408" s="9" t="str">
        <x:v>Payments basis</x:v>
      </x:c>
      <x:c r="B408" s="9" t="str">
        <x:v>1 Feb-31 Jul 2026</x:v>
      </x:c>
      <x:c r="C408" s="10" t="n">
        <x:v>46078.958333333336</x:v>
      </x:c>
      <x:c r="D408" s="9" t="str">
        <x:v>Purchase</x:v>
      </x:c>
      <x:c r="E408" s="9" t="str">
        <x:v>BNZ bank (pre-import)</x:v>
      </x:c>
      <x:c r="F408" s="9" t="str">
        <x:v>MITRE 10 CROMWELL · 5996 · 434667261354</x:v>
      </x:c>
      <x:c r="G408" s="11" t="n">
        <x:v>5.08</x:v>
      </x:c>
      <x:c r="H408" s="11" t="n">
        <x:v>0.66</x:v>
      </x:c>
      <x:c r="I408" s="9" t="str">
        <x:v>Y</x:v>
      </x:c>
      <x:c r="J408" s="9" t="str">
        <x:v>High</x:v>
      </x:c>
      <x:c r="K408" s="9" t="str">
        <x:v>Bank + TradePilot</x:v>
      </x:c>
      <x:c r="L408" s="9" t="str">
        <x:v>Business purchase.</x:v>
      </x:c>
      <x:c r="M408" s="9" t="str">
        <x:v>r3jdea</x:v>
      </x:c>
    </x:row>
    <x:row r="409" ht="15" hidden="0" customHeight="1">
      <x:c r="A409" s="9" t="str">
        <x:v>Payments basis</x:v>
      </x:c>
      <x:c r="B409" s="9" t="str">
        <x:v>1 Feb-31 Jul 2026</x:v>
      </x:c>
      <x:c r="C409" s="10" t="n">
        <x:v>46079.958333333336</x:v>
      </x:c>
      <x:c r="D409" s="9" t="str">
        <x:v>Purchase</x:v>
      </x:c>
      <x:c r="E409" s="9" t="str">
        <x:v>BNZ bank (pre-import)</x:v>
      </x:c>
      <x:c r="F409" s="9" t="str">
        <x:v>Taskhound Limited</x:v>
      </x:c>
      <x:c r="G409" s="11" t="n">
        <x:v>391</x:v>
      </x:c>
      <x:c r="H409" s="11" t="n">
        <x:v>51</x:v>
      </x:c>
      <x:c r="I409" s="9" t="str">
        <x:v>Y</x:v>
      </x:c>
      <x:c r="J409" s="9" t="str">
        <x:v>High</x:v>
      </x:c>
      <x:c r="K409" s="9" t="str">
        <x:v>Bank + TradePilot</x:v>
      </x:c>
      <x:c r="L409" s="9" t="str">
        <x:v>Business purchase.</x:v>
      </x:c>
      <x:c r="M409" s="9" t="str">
        <x:v>q3q8hh</x:v>
      </x:c>
    </x:row>
    <x:row r="410" ht="15" hidden="0" customHeight="1">
      <x:c r="A410" s="9" t="str">
        <x:v>Payments basis</x:v>
      </x:c>
      <x:c r="B410" s="9" t="str">
        <x:v>1 Feb-31 Jul 2026</x:v>
      </x:c>
      <x:c r="C410" s="10" t="n">
        <x:v>46079.958333333336</x:v>
      </x:c>
      <x:c r="D410" s="9" t="str">
        <x:v>Purchase</x:v>
      </x:c>
      <x:c r="E410" s="9" t="str">
        <x:v>BNZ bank (pre-import)</x:v>
      </x:c>
      <x:c r="F410" s="9" t="str">
        <x:v>SP TOOL JUNCTION NZ · 5996 · 448131271819</x:v>
      </x:c>
      <x:c r="G410" s="11" t="n">
        <x:v>1750.3</x:v>
      </x:c>
      <x:c r="H410" s="11" t="n">
        <x:v>228.3</x:v>
      </x:c>
      <x:c r="I410" s="9" t="str">
        <x:v>Y</x:v>
      </x:c>
      <x:c r="J410" s="9" t="str">
        <x:v>High</x:v>
      </x:c>
      <x:c r="K410" s="9" t="str">
        <x:v>Bank + TradePilot</x:v>
      </x:c>
      <x:c r="L410" s="9" t="str">
        <x:v>Business purchase.</x:v>
      </x:c>
      <x:c r="M410" s="9" t="str">
        <x:v>teds8g</x:v>
      </x:c>
    </x:row>
    <x:row r="411" ht="15" hidden="0" customHeight="1">
      <x:c r="A411" s="9" t="str">
        <x:v>Payments basis</x:v>
      </x:c>
      <x:c r="B411" s="9" t="str">
        <x:v>1 Feb-31 Jul 2026</x:v>
      </x:c>
      <x:c r="C411" s="10" t="n">
        <x:v>46080.958333333336</x:v>
      </x:c>
      <x:c r="D411" s="9" t="str">
        <x:v>Purchase</x:v>
      </x:c>
      <x:c r="E411" s="9" t="str">
        <x:v>BNZ bank (pre-import)</x:v>
      </x:c>
      <x:c r="F411" s="9" t="str">
        <x:v>THE SECRET SAUNA · 5996 · 448131271947</x:v>
      </x:c>
      <x:c r="G411" s="11" t="n">
        <x:v>66.03</x:v>
      </x:c>
      <x:c r="H411" s="11" t="n">
        <x:v>0</x:v>
      </x:c>
      <x:c r="I411" s="9" t="str">
        <x:v>N</x:v>
      </x:c>
      <x:c r="J411" s="9" t="str">
        <x:v>High</x:v>
      </x:c>
      <x:c r="K411" s="9" t="str">
        <x:v>Bank description</x:v>
      </x:c>
      <x:c r="L411" s="9" t="str">
        <x:v>Personal, transfer, tax, cash withdrawal, food or entertainment; no GST claim.</x:v>
      </x:c>
      <x:c r="M411" s="9" t="str">
        <x:v>c9y0ce</x:v>
      </x:c>
    </x:row>
    <x:row r="412" ht="15" hidden="0" customHeight="1">
      <x:c r="A412" s="9" t="str">
        <x:v>Payments basis</x:v>
      </x:c>
      <x:c r="B412" s="9" t="str">
        <x:v>1 Feb-31 Jul 2026</x:v>
      </x:c>
      <x:c r="C412" s="10" t="n">
        <x:v>46080.958333333336</x:v>
      </x:c>
      <x:c r="D412" s="9" t="str">
        <x:v>Sale</x:v>
      </x:c>
      <x:c r="E412" s="9" t="str">
        <x:v>BNZ bank</x:v>
      </x:c>
      <x:c r="F412" s="9" t="str">
        <x:v>Turner G A · deposit · 29 Tomtit</x:v>
      </x:c>
      <x:c r="G412" s="11" t="n">
        <x:v>338.1</x:v>
      </x:c>
      <x:c r="H412" s="11" t="n">
        <x:v>44.1</x:v>
      </x:c>
      <x:c r="I412" s="9" t="str">
        <x:v>Y</x:v>
      </x:c>
      <x:c r="J412" s="9" t="str">
        <x:v>High</x:v>
      </x:c>
      <x:c r="K412" s="9" t="str">
        <x:v>Bank receipt + TradePilot job/income record</x:v>
      </x:c>
      <x:c r="L412" s="9" t="str">
        <x:v>Customer receipt; exact bank amount used.</x:v>
      </x:c>
      <x:c r="M412" s="9" t="str">
        <x:v>shnl8i</x:v>
      </x:c>
    </x:row>
    <x:row r="413" ht="15" hidden="0" customHeight="1">
      <x:c r="A413" s="9" t="str">
        <x:v>Payments basis</x:v>
      </x:c>
      <x:c r="B413" s="9" t="str">
        <x:v>1 Feb-31 Jul 2026</x:v>
      </x:c>
      <x:c r="C413" s="10" t="n">
        <x:v>46082.958333333336</x:v>
      </x:c>
      <x:c r="D413" s="9" t="str">
        <x:v>Purchase</x:v>
      </x:c>
      <x:c r="E413" s="9" t="str">
        <x:v>BNZ bank (pre-import)</x:v>
      </x:c>
      <x:c r="F413" s="9" t="str">
        <x:v>Resene - Wanaka 087 · 5996 · 420549021203</x:v>
      </x:c>
      <x:c r="G413" s="11" t="n">
        <x:v>49.18</x:v>
      </x:c>
      <x:c r="H413" s="11" t="n">
        <x:v>6.41</x:v>
      </x:c>
      <x:c r="I413" s="9" t="str">
        <x:v>Y</x:v>
      </x:c>
      <x:c r="J413" s="9" t="str">
        <x:v>High</x:v>
      </x:c>
      <x:c r="K413" s="9" t="str">
        <x:v>Bank + TradePilot</x:v>
      </x:c>
      <x:c r="L413" s="9" t="str">
        <x:v>Business purchase.</x:v>
      </x:c>
      <x:c r="M413" s="9" t="str">
        <x:v>l0c1l9</x:v>
      </x:c>
    </x:row>
    <x:row r="414" ht="15" hidden="0" customHeight="1">
      <x:c r="A414" s="9" t="str">
        <x:v>Payments basis</x:v>
      </x:c>
      <x:c r="B414" s="9" t="str">
        <x:v>1 Feb-31 Jul 2026</x:v>
      </x:c>
      <x:c r="C414" s="10" t="n">
        <x:v>46082.958333333336</x:v>
      </x:c>
      <x:c r="D414" s="9" t="str">
        <x:v>Purchase</x:v>
      </x:c>
      <x:c r="E414" s="9" t="str">
        <x:v>BNZ bank (pre-import)</x:v>
      </x:c>
      <x:c r="F414" s="9" t="str">
        <x:v>CLAUDE.AI SUBSCRIPTI · 5996 · 401134022028</x:v>
      </x:c>
      <x:c r="G414" s="11" t="n">
        <x:v>40</x:v>
      </x:c>
      <x:c r="H414" s="11" t="n">
        <x:v>5.22</x:v>
      </x:c>
      <x:c r="I414" s="9" t="str">
        <x:v>Y</x:v>
      </x:c>
      <x:c r="J414" s="9" t="str">
        <x:v>Review</x:v>
      </x:c>
      <x:c r="K414" s="9" t="str">
        <x:v>Bank + TradePilot; check supplier invoice shows NZ GST</x:v>
      </x:c>
      <x:c r="L414" s="9" t="str">
        <x:v>Included provisionally; overseas software is claimable only if NZ GST was actually charged.</x:v>
      </x:c>
      <x:c r="M414" s="9" t="str">
        <x:v>a5j3c3</x:v>
      </x:c>
    </x:row>
    <x:row r="415" ht="15" hidden="0" customHeight="1">
      <x:c r="A415" s="9" t="str">
        <x:v>Payments basis</x:v>
      </x:c>
      <x:c r="B415" s="9" t="str">
        <x:v>1 Feb-31 Jul 2026</x:v>
      </x:c>
      <x:c r="C415" s="10" t="n">
        <x:v>46082.958333333336</x:v>
      </x:c>
      <x:c r="D415" s="9" t="str">
        <x:v>Purchase</x:v>
      </x:c>
      <x:c r="E415" s="9" t="str">
        <x:v>BNZ bank (pre-import)</x:v>
      </x:c>
      <x:c r="F415" s="9" t="str">
        <x:v>CURSOR  AI POWERED I · 5996 · 401134022136</x:v>
      </x:c>
      <x:c r="G415" s="11" t="n">
        <x:v>34.81</x:v>
      </x:c>
      <x:c r="H415" s="11" t="n">
        <x:v>4.54</x:v>
      </x:c>
      <x:c r="I415" s="9" t="str">
        <x:v>Y</x:v>
      </x:c>
      <x:c r="J415" s="9" t="str">
        <x:v>Review</x:v>
      </x:c>
      <x:c r="K415" s="9" t="str">
        <x:v>Bank + TradePilot; check supplier invoice shows NZ GST</x:v>
      </x:c>
      <x:c r="L415" s="9" t="str">
        <x:v>Included provisionally; overseas software is claimable only if NZ GST was actually charged.</x:v>
      </x:c>
      <x:c r="M415" s="9" t="str">
        <x:v>8t59iw</x:v>
      </x:c>
    </x:row>
    <x:row r="416" ht="15" hidden="0" customHeight="1">
      <x:c r="A416" s="9" t="str">
        <x:v>Payments basis</x:v>
      </x:c>
      <x:c r="B416" s="9" t="str">
        <x:v>1 Feb-31 Jul 2026</x:v>
      </x:c>
      <x:c r="C416" s="10" t="n">
        <x:v>46083.958333333336</x:v>
      </x:c>
      <x:c r="D416" s="9" t="str">
        <x:v>Purchase</x:v>
      </x:c>
      <x:c r="E416" s="9" t="str">
        <x:v>BNZ bank (pre-import)</x:v>
      </x:c>
      <x:c r="F416" s="9" t="str">
        <x:v>Resene - Wanaka 087 · 5996 · 420549030903</x:v>
      </x:c>
      <x:c r="G416" s="11" t="n">
        <x:v>407.89</x:v>
      </x:c>
      <x:c r="H416" s="11" t="n">
        <x:v>53.2</x:v>
      </x:c>
      <x:c r="I416" s="9" t="str">
        <x:v>Y</x:v>
      </x:c>
      <x:c r="J416" s="9" t="str">
        <x:v>High</x:v>
      </x:c>
      <x:c r="K416" s="9" t="str">
        <x:v>Bank + TradePilot</x:v>
      </x:c>
      <x:c r="L416" s="9" t="str">
        <x:v>Business purchase.</x:v>
      </x:c>
      <x:c r="M416" s="9" t="str">
        <x:v>scbx7v</x:v>
      </x:c>
    </x:row>
    <x:row r="417" ht="15" hidden="0" customHeight="1">
      <x:c r="A417" s="9" t="str">
        <x:v>Payments basis</x:v>
      </x:c>
      <x:c r="B417" s="9" t="str">
        <x:v>1 Feb-31 Jul 2026</x:v>
      </x:c>
      <x:c r="C417" s="10" t="n">
        <x:v>46083.958333333336</x:v>
      </x:c>
      <x:c r="D417" s="9" t="str">
        <x:v>Purchase</x:v>
      </x:c>
      <x:c r="E417" s="9" t="str">
        <x:v>BNZ bank (pre-import)</x:v>
      </x:c>
      <x:c r="F417" s="9" t="str">
        <x:v>Four Square Albertto · 5996 · 420549031254</x:v>
      </x:c>
      <x:c r="G417" s="11" t="n">
        <x:v>11.77</x:v>
      </x:c>
      <x:c r="H417" s="11" t="n">
        <x:v>0</x:v>
      </x:c>
      <x:c r="I417" s="9" t="str">
        <x:v>N</x:v>
      </x:c>
      <x:c r="J417" s="9" t="str">
        <x:v>High</x:v>
      </x:c>
      <x:c r="K417" s="9" t="str">
        <x:v>Bank description</x:v>
      </x:c>
      <x:c r="L417" s="9" t="str">
        <x:v>Personal, transfer, tax, cash withdrawal, food or entertainment; no GST claim.</x:v>
      </x:c>
      <x:c r="M417" s="9" t="str">
        <x:v>gz3hns</x:v>
      </x:c>
    </x:row>
    <x:row r="418" ht="15" hidden="0" customHeight="1">
      <x:c r="A418" s="9" t="str">
        <x:v>Payments basis</x:v>
      </x:c>
      <x:c r="B418" s="9" t="str">
        <x:v>1 Feb-31 Jul 2026</x:v>
      </x:c>
      <x:c r="C418" s="10" t="n">
        <x:v>46083.958333333336</x:v>
      </x:c>
      <x:c r="D418" s="9" t="str">
        <x:v>Sale</x:v>
      </x:c>
      <x:c r="E418" s="9" t="str">
        <x:v>BNZ bank</x:v>
      </x:c>
      <x:c r="F418" s="9" t="str">
        <x:v>C E &amp; S S GUNN · 50 dale st · final invoic</x:v>
      </x:c>
      <x:c r="G418" s="11" t="n">
        <x:v>2001</x:v>
      </x:c>
      <x:c r="H418" s="11" t="n">
        <x:v>261</x:v>
      </x:c>
      <x:c r="I418" s="9" t="str">
        <x:v>Y</x:v>
      </x:c>
      <x:c r="J418" s="9" t="str">
        <x:v>High</x:v>
      </x:c>
      <x:c r="K418" s="9" t="str">
        <x:v>Bank receipt + TradePilot job/income record</x:v>
      </x:c>
      <x:c r="L418" s="9" t="str">
        <x:v>Customer receipt; exact bank amount used.</x:v>
      </x:c>
      <x:c r="M418" s="9" t="str">
        <x:v>epqxio</x:v>
      </x:c>
    </x:row>
    <x:row r="419" ht="15" hidden="0" customHeight="1">
      <x:c r="A419" s="9" t="str">
        <x:v>Payments basis</x:v>
      </x:c>
      <x:c r="B419" s="9" t="str">
        <x:v>1 Feb-31 Jul 2026</x:v>
      </x:c>
      <x:c r="C419" s="10" t="n">
        <x:v>46084.958333333336</x:v>
      </x:c>
      <x:c r="D419" s="9" t="str">
        <x:v>Purchase</x:v>
      </x:c>
      <x:c r="E419" s="9" t="str">
        <x:v>BNZ bank (pre-import)</x:v>
      </x:c>
      <x:c r="F419" s="9" t="str">
        <x:v>Four Square Albertto · 5996 · 420549041024</x:v>
      </x:c>
      <x:c r="G419" s="11" t="n">
        <x:v>24.12</x:v>
      </x:c>
      <x:c r="H419" s="11" t="n">
        <x:v>0</x:v>
      </x:c>
      <x:c r="I419" s="9" t="str">
        <x:v>N</x:v>
      </x:c>
      <x:c r="J419" s="9" t="str">
        <x:v>High</x:v>
      </x:c>
      <x:c r="K419" s="9" t="str">
        <x:v>Bank description</x:v>
      </x:c>
      <x:c r="L419" s="9" t="str">
        <x:v>Personal, transfer, tax, cash withdrawal, food or entertainment; no GST claim.</x:v>
      </x:c>
      <x:c r="M419" s="9" t="str">
        <x:v>mh9wby</x:v>
      </x:c>
    </x:row>
    <x:row r="420" ht="15" hidden="0" customHeight="1">
      <x:c r="A420" s="9" t="str">
        <x:v>Payments basis</x:v>
      </x:c>
      <x:c r="B420" s="9" t="str">
        <x:v>1 Feb-31 Jul 2026</x:v>
      </x:c>
      <x:c r="C420" s="10" t="n">
        <x:v>46084.958333333336</x:v>
      </x:c>
      <x:c r="D420" s="9" t="str">
        <x:v>Purchase</x:v>
      </x:c>
      <x:c r="E420" s="9" t="str">
        <x:v>BNZ bank (pre-import)</x:v>
      </x:c>
      <x:c r="F420" s="9" t="str">
        <x:v>R &amp; S TRADE CENTRE · 5996 · 492102041625</x:v>
      </x:c>
      <x:c r="G420" s="11" t="n">
        <x:v>112.41</x:v>
      </x:c>
      <x:c r="H420" s="11" t="n">
        <x:v>14.66</x:v>
      </x:c>
      <x:c r="I420" s="9" t="str">
        <x:v>Y</x:v>
      </x:c>
      <x:c r="J420" s="9" t="str">
        <x:v>High</x:v>
      </x:c>
      <x:c r="K420" s="9" t="str">
        <x:v>Bank + TradePilot</x:v>
      </x:c>
      <x:c r="L420" s="9" t="str">
        <x:v>Business purchase.</x:v>
      </x:c>
      <x:c r="M420" s="9" t="str">
        <x:v>42wo7l</x:v>
      </x:c>
    </x:row>
    <x:row r="421" ht="15" hidden="0" customHeight="1">
      <x:c r="A421" s="9" t="str">
        <x:v>Payments basis</x:v>
      </x:c>
      <x:c r="B421" s="9" t="str">
        <x:v>1 Feb-31 Jul 2026</x:v>
      </x:c>
      <x:c r="C421" s="10" t="n">
        <x:v>46085.958333333336</x:v>
      </x:c>
      <x:c r="D421" s="9" t="str">
        <x:v>Purchase</x:v>
      </x:c>
      <x:c r="E421" s="9" t="str">
        <x:v>BNZ bank (pre-import)</x:v>
      </x:c>
      <x:c r="F421" s="9" t="str">
        <x:v>Resene - Wanaka 087 · 5996 · 420549051536</x:v>
      </x:c>
      <x:c r="G421" s="11" t="n">
        <x:v>160.43</x:v>
      </x:c>
      <x:c r="H421" s="11" t="n">
        <x:v>20.93</x:v>
      </x:c>
      <x:c r="I421" s="9" t="str">
        <x:v>Y</x:v>
      </x:c>
      <x:c r="J421" s="9" t="str">
        <x:v>High</x:v>
      </x:c>
      <x:c r="K421" s="9" t="str">
        <x:v>Bank + TradePilot</x:v>
      </x:c>
      <x:c r="L421" s="9" t="str">
        <x:v>Business purchase.</x:v>
      </x:c>
      <x:c r="M421" s="9" t="str">
        <x:v>uqpjfo</x:v>
      </x:c>
    </x:row>
    <x:row r="422" ht="15" hidden="0" customHeight="1">
      <x:c r="A422" s="9" t="str">
        <x:v>Payments basis</x:v>
      </x:c>
      <x:c r="B422" s="9" t="str">
        <x:v>1 Feb-31 Jul 2026</x:v>
      </x:c>
      <x:c r="C422" s="10" t="n">
        <x:v>46085.958333333336</x:v>
      </x:c>
      <x:c r="D422" s="9" t="str">
        <x:v>Sale</x:v>
      </x:c>
      <x:c r="E422" s="9" t="str">
        <x:v>BNZ bank</x:v>
      </x:c>
      <x:c r="F422" s="9" t="str">
        <x:v>NELSON&amp;MEAKIN · 56 Dale St · DanyaMeakins</x:v>
      </x:c>
      <x:c r="G422" s="11" t="n">
        <x:v>1177.6</x:v>
      </x:c>
      <x:c r="H422" s="11" t="n">
        <x:v>153.6</x:v>
      </x:c>
      <x:c r="I422" s="9" t="str">
        <x:v>Y</x:v>
      </x:c>
      <x:c r="J422" s="9" t="str">
        <x:v>High</x:v>
      </x:c>
      <x:c r="K422" s="9" t="str">
        <x:v>Bank receipt + TradePilot job/income record</x:v>
      </x:c>
      <x:c r="L422" s="9" t="str">
        <x:v>Customer receipt; exact bank amount used.</x:v>
      </x:c>
      <x:c r="M422" s="9" t="str">
        <x:v>1kuolo</x:v>
      </x:c>
    </x:row>
    <x:row r="423" ht="15" hidden="0" customHeight="1">
      <x:c r="A423" s="9" t="str">
        <x:v>Payments basis</x:v>
      </x:c>
      <x:c r="B423" s="9" t="str">
        <x:v>1 Feb-31 Jul 2026</x:v>
      </x:c>
      <x:c r="C423" s="10" t="n">
        <x:v>46086.958333333336</x:v>
      </x:c>
      <x:c r="D423" s="9" t="str">
        <x:v>Purchase</x:v>
      </x:c>
      <x:c r="E423" s="9" t="str">
        <x:v>BNZ bank (pre-import)</x:v>
      </x:c>
      <x:c r="F423" s="9" t="str">
        <x:v>Inland Revenue · 5996 · 454860061152</x:v>
      </x:c>
      <x:c r="G423" s="11" t="n">
        <x:v>106.91</x:v>
      </x:c>
      <x:c r="H423" s="11" t="n">
        <x:v>0</x:v>
      </x:c>
      <x:c r="I423" s="9" t="str">
        <x:v>N</x:v>
      </x:c>
      <x:c r="J423" s="9" t="str">
        <x:v>High</x:v>
      </x:c>
      <x:c r="K423" s="9" t="str">
        <x:v>Bank description</x:v>
      </x:c>
      <x:c r="L423" s="9" t="str">
        <x:v>Personal, transfer, tax, cash withdrawal, food or entertainment; no GST claim.</x:v>
      </x:c>
      <x:c r="M423" s="9" t="str">
        <x:v>j26oaz</x:v>
      </x:c>
    </x:row>
    <x:row r="424" ht="15" hidden="0" customHeight="1">
      <x:c r="A424" s="9" t="str">
        <x:v>Payments basis</x:v>
      </x:c>
      <x:c r="B424" s="9" t="str">
        <x:v>1 Feb-31 Jul 2026</x:v>
      </x:c>
      <x:c r="C424" s="10" t="n">
        <x:v>46086.958333333336</x:v>
      </x:c>
      <x:c r="D424" s="9" t="str">
        <x:v>Purchase</x:v>
      </x:c>
      <x:c r="E424" s="9" t="str">
        <x:v>BNZ bank (pre-import)</x:v>
      </x:c>
      <x:c r="F424" s="9" t="str">
        <x:v>IRD Conv Fee · 5996 · 454860061152</x:v>
      </x:c>
      <x:c r="G424" s="11" t="n">
        <x:v>1.52</x:v>
      </x:c>
      <x:c r="H424" s="11" t="n">
        <x:v>0</x:v>
      </x:c>
      <x:c r="I424" s="9" t="str">
        <x:v>N</x:v>
      </x:c>
      <x:c r="J424" s="9" t="str">
        <x:v>High</x:v>
      </x:c>
      <x:c r="K424" s="9" t="str">
        <x:v>Bank description</x:v>
      </x:c>
      <x:c r="L424" s="9" t="str">
        <x:v>Personal, transfer, tax, cash withdrawal, food or entertainment; no GST claim.</x:v>
      </x:c>
      <x:c r="M424" s="9" t="str">
        <x:v>p3tedd</x:v>
      </x:c>
    </x:row>
    <x:row r="425" ht="15" hidden="0" customHeight="1">
      <x:c r="A425" s="9" t="str">
        <x:v>Payments basis</x:v>
      </x:c>
      <x:c r="B425" s="9" t="str">
        <x:v>1 Feb-31 Jul 2026</x:v>
      </x:c>
      <x:c r="C425" s="10" t="n">
        <x:v>46086.958333333336</x:v>
      </x:c>
      <x:c r="D425" s="9" t="str">
        <x:v>Purchase</x:v>
      </x:c>
      <x:c r="E425" s="9" t="str">
        <x:v>BNZ bank (pre-import)</x:v>
      </x:c>
      <x:c r="F425" s="9" t="str">
        <x:v>Inland Revenue · 5996 · 454860061152</x:v>
      </x:c>
      <x:c r="G425" s="11" t="n">
        <x:v>50</x:v>
      </x:c>
      <x:c r="H425" s="11" t="n">
        <x:v>0</x:v>
      </x:c>
      <x:c r="I425" s="9" t="str">
        <x:v>N</x:v>
      </x:c>
      <x:c r="J425" s="9" t="str">
        <x:v>High</x:v>
      </x:c>
      <x:c r="K425" s="9" t="str">
        <x:v>Bank description</x:v>
      </x:c>
      <x:c r="L425" s="9" t="str">
        <x:v>Personal, transfer, tax, cash withdrawal, food or entertainment; no GST claim.</x:v>
      </x:c>
      <x:c r="M425" s="9" t="str">
        <x:v>wkaav</x:v>
      </x:c>
    </x:row>
    <x:row r="426" ht="15" hidden="0" customHeight="1">
      <x:c r="A426" s="9" t="str">
        <x:v>Payments basis</x:v>
      </x:c>
      <x:c r="B426" s="9" t="str">
        <x:v>1 Feb-31 Jul 2026</x:v>
      </x:c>
      <x:c r="C426" s="10" t="n">
        <x:v>46086.958333333336</x:v>
      </x:c>
      <x:c r="D426" s="9" t="str">
        <x:v>Purchase</x:v>
      </x:c>
      <x:c r="E426" s="9" t="str">
        <x:v>BNZ bank (pre-import)</x:v>
      </x:c>
      <x:c r="F426" s="9" t="str">
        <x:v>IRD Conv Fee · 5996 · 454860061152</x:v>
      </x:c>
      <x:c r="G426" s="11" t="n">
        <x:v>0.71</x:v>
      </x:c>
      <x:c r="H426" s="11" t="n">
        <x:v>0</x:v>
      </x:c>
      <x:c r="I426" s="9" t="str">
        <x:v>N</x:v>
      </x:c>
      <x:c r="J426" s="9" t="str">
        <x:v>High</x:v>
      </x:c>
      <x:c r="K426" s="9" t="str">
        <x:v>Bank description</x:v>
      </x:c>
      <x:c r="L426" s="9" t="str">
        <x:v>Personal, transfer, tax, cash withdrawal, food or entertainment; no GST claim.</x:v>
      </x:c>
      <x:c r="M426" s="9" t="str">
        <x:v>aqagbj</x:v>
      </x:c>
    </x:row>
    <x:row r="427" ht="15" hidden="0" customHeight="1">
      <x:c r="A427" s="9" t="str">
        <x:v>Payments basis</x:v>
      </x:c>
      <x:c r="B427" s="9" t="str">
        <x:v>1 Feb-31 Jul 2026</x:v>
      </x:c>
      <x:c r="C427" s="10" t="n">
        <x:v>46086.958333333336</x:v>
      </x:c>
      <x:c r="D427" s="9" t="str">
        <x:v>Purchase</x:v>
      </x:c>
      <x:c r="E427" s="9" t="str">
        <x:v>BNZ bank (pre-import)</x:v>
      </x:c>
      <x:c r="F427" s="9" t="str">
        <x:v>UBER *EATS HELP.UBER · 5996 · 453241061808</x:v>
      </x:c>
      <x:c r="G427" s="11" t="n">
        <x:v>40.69</x:v>
      </x:c>
      <x:c r="H427" s="11" t="n">
        <x:v>0</x:v>
      </x:c>
      <x:c r="I427" s="9" t="str">
        <x:v>N</x:v>
      </x:c>
      <x:c r="J427" s="9" t="str">
        <x:v>High</x:v>
      </x:c>
      <x:c r="K427" s="9" t="str">
        <x:v>Bank description</x:v>
      </x:c>
      <x:c r="L427" s="9" t="str">
        <x:v>Personal, transfer, tax, cash withdrawal, food or entertainment; no GST claim.</x:v>
      </x:c>
      <x:c r="M427" s="9" t="str">
        <x:v>x5hpi9</x:v>
      </x:c>
    </x:row>
    <x:row r="428" ht="15" hidden="0" customHeight="1">
      <x:c r="A428" s="9" t="str">
        <x:v>Payments basis</x:v>
      </x:c>
      <x:c r="B428" s="9" t="str">
        <x:v>1 Feb-31 Jul 2026</x:v>
      </x:c>
      <x:c r="C428" s="10" t="n">
        <x:v>46087.958333333336</x:v>
      </x:c>
      <x:c r="D428" s="9" t="str">
        <x:v>Purchase</x:v>
      </x:c>
      <x:c r="E428" s="9" t="str">
        <x:v>BNZ bank (pre-import)</x:v>
      </x:c>
      <x:c r="F428" s="9" t="str">
        <x:v>BP CONNECT WANAKA · 5996 · 492102070933</x:v>
      </x:c>
      <x:c r="G428" s="11" t="n">
        <x:v>134.99</x:v>
      </x:c>
      <x:c r="H428" s="11" t="n">
        <x:v>17.61</x:v>
      </x:c>
      <x:c r="I428" s="9" t="str">
        <x:v>Y</x:v>
      </x:c>
      <x:c r="J428" s="9" t="str">
        <x:v>High</x:v>
      </x:c>
      <x:c r="K428" s="9" t="str">
        <x:v>Bank + TradePilot</x:v>
      </x:c>
      <x:c r="L428" s="9" t="str">
        <x:v>Business purchase.</x:v>
      </x:c>
      <x:c r="M428" s="9" t="str">
        <x:v>t0mv18</x:v>
      </x:c>
    </x:row>
    <x:row r="429" ht="15" hidden="0" customHeight="1">
      <x:c r="A429" s="9" t="str">
        <x:v>Payments basis</x:v>
      </x:c>
      <x:c r="B429" s="9" t="str">
        <x:v>1 Feb-31 Jul 2026</x:v>
      </x:c>
      <x:c r="C429" s="10" t="n">
        <x:v>46087.958333333336</x:v>
      </x:c>
      <x:c r="D429" s="9" t="str">
        <x:v>Purchase</x:v>
      </x:c>
      <x:c r="E429" s="9" t="str">
        <x:v>BNZ bank (pre-import)</x:v>
      </x:c>
      <x:c r="F429" s="9" t="str">
        <x:v>OPENAI *CHATGPT SUBS · 5996 · 449216072053</x:v>
      </x:c>
      <x:c r="G429" s="11" t="n">
        <x:v>40.16</x:v>
      </x:c>
      <x:c r="H429" s="11" t="n">
        <x:v>5.24</x:v>
      </x:c>
      <x:c r="I429" s="9" t="str">
        <x:v>Y</x:v>
      </x:c>
      <x:c r="J429" s="9" t="str">
        <x:v>Review</x:v>
      </x:c>
      <x:c r="K429" s="9" t="str">
        <x:v>Bank + TradePilot; check supplier invoice shows NZ GST</x:v>
      </x:c>
      <x:c r="L429" s="9" t="str">
        <x:v>Included provisionally; overseas software is claimable only if NZ GST was actually charged.</x:v>
      </x:c>
      <x:c r="M429" s="9" t="str">
        <x:v>pdfyan</x:v>
      </x:c>
    </x:row>
    <x:row r="430" ht="15" hidden="0" customHeight="1">
      <x:c r="A430" s="9" t="str">
        <x:v>Payments basis</x:v>
      </x:c>
      <x:c r="B430" s="9" t="str">
        <x:v>1 Feb-31 Jul 2026</x:v>
      </x:c>
      <x:c r="C430" s="10" t="n">
        <x:v>46088.958333333336</x:v>
      </x:c>
      <x:c r="D430" s="9" t="str">
        <x:v>Purchase</x:v>
      </x:c>
      <x:c r="E430" s="9" t="str">
        <x:v>BNZ bank (pre-import)</x:v>
      </x:c>
      <x:c r="F430" s="9" t="str">
        <x:v>MITRE 10 MEGA WANAKA · 5996 · 434667080956</x:v>
      </x:c>
      <x:c r="G430" s="11" t="n">
        <x:v>741.98</x:v>
      </x:c>
      <x:c r="H430" s="11" t="n">
        <x:v>96.78</x:v>
      </x:c>
      <x:c r="I430" s="9" t="str">
        <x:v>Y</x:v>
      </x:c>
      <x:c r="J430" s="9" t="str">
        <x:v>High</x:v>
      </x:c>
      <x:c r="K430" s="9" t="str">
        <x:v>Bank + TradePilot</x:v>
      </x:c>
      <x:c r="L430" s="9" t="str">
        <x:v>Business purchase.</x:v>
      </x:c>
      <x:c r="M430" s="9" t="str">
        <x:v>efpn2</x:v>
      </x:c>
    </x:row>
    <x:row r="431" ht="15" hidden="0" customHeight="1">
      <x:c r="A431" s="9" t="str">
        <x:v>Payments basis</x:v>
      </x:c>
      <x:c r="B431" s="9" t="str">
        <x:v>1 Feb-31 Jul 2026</x:v>
      </x:c>
      <x:c r="C431" s="10" t="n">
        <x:v>46089.958333333336</x:v>
      </x:c>
      <x:c r="D431" s="9" t="str">
        <x:v>Purchase</x:v>
      </x:c>
      <x:c r="E431" s="9" t="str">
        <x:v>BNZ bank (pre-import)</x:v>
      </x:c>
      <x:c r="F431" s="9" t="str">
        <x:v>MITRE 10 MEGA WANAKA · 5996 · 434667091211</x:v>
      </x:c>
      <x:c r="G431" s="11" t="n">
        <x:v>42.35</x:v>
      </x:c>
      <x:c r="H431" s="11" t="n">
        <x:v>5.52</x:v>
      </x:c>
      <x:c r="I431" s="9" t="str">
        <x:v>Y</x:v>
      </x:c>
      <x:c r="J431" s="9" t="str">
        <x:v>High</x:v>
      </x:c>
      <x:c r="K431" s="9" t="str">
        <x:v>Bank + TradePilot</x:v>
      </x:c>
      <x:c r="L431" s="9" t="str">
        <x:v>Business purchase.</x:v>
      </x:c>
      <x:c r="M431" s="9" t="str">
        <x:v>i9uepm</x:v>
      </x:c>
    </x:row>
    <x:row r="432" ht="15" hidden="0" customHeight="1">
      <x:c r="A432" s="9" t="str">
        <x:v>Payments basis</x:v>
      </x:c>
      <x:c r="B432" s="9" t="str">
        <x:v>1 Feb-31 Jul 2026</x:v>
      </x:c>
      <x:c r="C432" s="10" t="n">
        <x:v>46089.958333333336</x:v>
      </x:c>
      <x:c r="D432" s="9" t="str">
        <x:v>Purchase</x:v>
      </x:c>
      <x:c r="E432" s="9" t="str">
        <x:v>BNZ bank (pre-import)</x:v>
      </x:c>
      <x:c r="F432" s="9" t="str">
        <x:v>THE WAREHOUSE 212 WA · 5996 · 434667091212</x:v>
      </x:c>
      <x:c r="G432" s="11" t="n">
        <x:v>60</x:v>
      </x:c>
      <x:c r="H432" s="11" t="n">
        <x:v>0</x:v>
      </x:c>
      <x:c r="I432" s="9" t="str">
        <x:v>N</x:v>
      </x:c>
      <x:c r="J432" s="9" t="str">
        <x:v>Review</x:v>
      </x:c>
      <x:c r="K432" s="9" t="str">
        <x:v>Bank + TradePilot description</x:v>
      </x:c>
      <x:c r="L432" s="9" t="str">
        <x:v>Ordinary work clothing excluded. Change to Y only if protective or a distinctive branded uniform.</x:v>
      </x:c>
      <x:c r="M432" s="9" t="str">
        <x:v>2hlm1b</x:v>
      </x:c>
    </x:row>
    <x:row r="433" ht="15" hidden="0" customHeight="1">
      <x:c r="A433" s="9" t="str">
        <x:v>Payments basis</x:v>
      </x:c>
      <x:c r="B433" s="9" t="str">
        <x:v>1 Feb-31 Jul 2026</x:v>
      </x:c>
      <x:c r="C433" s="10" t="n">
        <x:v>46091.958333333336</x:v>
      </x:c>
      <x:c r="D433" s="9" t="str">
        <x:v>Purchase</x:v>
      </x:c>
      <x:c r="E433" s="9" t="str">
        <x:v>BNZ bank (pre-import)</x:v>
      </x:c>
      <x:c r="F433" s="9" t="str">
        <x:v>Resene - Wanaka 087 · 5996 · 420549111106</x:v>
      </x:c>
      <x:c r="G433" s="11" t="n">
        <x:v>126.65</x:v>
      </x:c>
      <x:c r="H433" s="11" t="n">
        <x:v>16.52</x:v>
      </x:c>
      <x:c r="I433" s="9" t="str">
        <x:v>Y</x:v>
      </x:c>
      <x:c r="J433" s="9" t="str">
        <x:v>High</x:v>
      </x:c>
      <x:c r="K433" s="9" t="str">
        <x:v>Bank + TradePilot</x:v>
      </x:c>
      <x:c r="L433" s="9" t="str">
        <x:v>Business purchase.</x:v>
      </x:c>
      <x:c r="M433" s="9" t="str">
        <x:v>jkp2rn</x:v>
      </x:c>
    </x:row>
    <x:row r="434" ht="15" hidden="0" customHeight="1">
      <x:c r="A434" s="9" t="str">
        <x:v>Payments basis</x:v>
      </x:c>
      <x:c r="B434" s="9" t="str">
        <x:v>1 Feb-31 Jul 2026</x:v>
      </x:c>
      <x:c r="C434" s="10" t="n">
        <x:v>46091.958333333336</x:v>
      </x:c>
      <x:c r="D434" s="9" t="str">
        <x:v>Purchase</x:v>
      </x:c>
      <x:c r="E434" s="9" t="str">
        <x:v>BNZ bank (pre-import)</x:v>
      </x:c>
      <x:c r="F434" s="9" t="str">
        <x:v>BP CONNECT WANAKA · 5996 · 492102111534</x:v>
      </x:c>
      <x:c r="G434" s="11" t="n">
        <x:v>28.99</x:v>
      </x:c>
      <x:c r="H434" s="11" t="n">
        <x:v>3.78</x:v>
      </x:c>
      <x:c r="I434" s="9" t="str">
        <x:v>Y</x:v>
      </x:c>
      <x:c r="J434" s="9" t="str">
        <x:v>High</x:v>
      </x:c>
      <x:c r="K434" s="9" t="str">
        <x:v>Bank + TradePilot</x:v>
      </x:c>
      <x:c r="L434" s="9" t="str">
        <x:v>Business purchase.</x:v>
      </x:c>
      <x:c r="M434" s="9" t="str">
        <x:v>4nbwjm</x:v>
      </x:c>
    </x:row>
    <x:row r="435" ht="15" hidden="0" customHeight="1">
      <x:c r="A435" s="9" t="str">
        <x:v>Payments basis</x:v>
      </x:c>
      <x:c r="B435" s="9" t="str">
        <x:v>1 Feb-31 Jul 2026</x:v>
      </x:c>
      <x:c r="C435" s="10" t="n">
        <x:v>46091.958333333336</x:v>
      </x:c>
      <x:c r="D435" s="9" t="str">
        <x:v>Purchase</x:v>
      </x:c>
      <x:c r="E435" s="9" t="str">
        <x:v>BNZ bank (pre-import)</x:v>
      </x:c>
      <x:c r="F435" s="9" t="str">
        <x:v>SPOTIFY · 5996 · 414361112121</x:v>
      </x:c>
      <x:c r="G435" s="11" t="n">
        <x:v>25.49</x:v>
      </x:c>
      <x:c r="H435" s="11" t="n">
        <x:v>0</x:v>
      </x:c>
      <x:c r="I435" s="9" t="str">
        <x:v>N</x:v>
      </x:c>
      <x:c r="J435" s="9" t="str">
        <x:v>High</x:v>
      </x:c>
      <x:c r="K435" s="9" t="str">
        <x:v>Bank description</x:v>
      </x:c>
      <x:c r="L435" s="9" t="str">
        <x:v>Personal, transfer, tax, cash withdrawal, food or entertainment; no GST claim.</x:v>
      </x:c>
      <x:c r="M435" s="9" t="str">
        <x:v>louz9v</x:v>
      </x:c>
    </x:row>
    <x:row r="436" ht="15" hidden="0" customHeight="1">
      <x:c r="A436" s="9" t="str">
        <x:v>Payments basis</x:v>
      </x:c>
      <x:c r="B436" s="9" t="str">
        <x:v>1 Feb-31 Jul 2026</x:v>
      </x:c>
      <x:c r="C436" s="10" t="n">
        <x:v>46092.958333333336</x:v>
      </x:c>
      <x:c r="D436" s="9" t="str">
        <x:v>Purchase</x:v>
      </x:c>
      <x:c r="E436" s="9" t="str">
        <x:v>BNZ bank (pre-import)</x:v>
      </x:c>
      <x:c r="F436" s="9" t="str">
        <x:v>Resene - Wanaka 087 · 5996 · 420549121332</x:v>
      </x:c>
      <x:c r="G436" s="11" t="n">
        <x:v>126.65</x:v>
      </x:c>
      <x:c r="H436" s="11" t="n">
        <x:v>16.52</x:v>
      </x:c>
      <x:c r="I436" s="9" t="str">
        <x:v>Y</x:v>
      </x:c>
      <x:c r="J436" s="9" t="str">
        <x:v>High</x:v>
      </x:c>
      <x:c r="K436" s="9" t="str">
        <x:v>Bank + TradePilot</x:v>
      </x:c>
      <x:c r="L436" s="9" t="str">
        <x:v>Business purchase.</x:v>
      </x:c>
      <x:c r="M436" s="9" t="str">
        <x:v>vpo2qo</x:v>
      </x:c>
    </x:row>
    <x:row r="437" ht="15" hidden="0" customHeight="1">
      <x:c r="A437" s="9" t="str">
        <x:v>Payments basis</x:v>
      </x:c>
      <x:c r="B437" s="9" t="str">
        <x:v>1 Feb-31 Jul 2026</x:v>
      </x:c>
      <x:c r="C437" s="10" t="n">
        <x:v>46093.958333333336</x:v>
      </x:c>
      <x:c r="D437" s="9" t="str">
        <x:v>Purchase</x:v>
      </x:c>
      <x:c r="E437" s="9" t="str">
        <x:v>BNZ bank (pre-import)</x:v>
      </x:c>
      <x:c r="F437" s="9" t="str">
        <x:v>BP 2GO CROMWELL · 5996 · 492102131326</x:v>
      </x:c>
      <x:c r="G437" s="11" t="n">
        <x:v>117.65</x:v>
      </x:c>
      <x:c r="H437" s="11" t="n">
        <x:v>15.35</x:v>
      </x:c>
      <x:c r="I437" s="9" t="str">
        <x:v>Y</x:v>
      </x:c>
      <x:c r="J437" s="9" t="str">
        <x:v>High</x:v>
      </x:c>
      <x:c r="K437" s="9" t="str">
        <x:v>Bank + TradePilot</x:v>
      </x:c>
      <x:c r="L437" s="9" t="str">
        <x:v>Business purchase.</x:v>
      </x:c>
      <x:c r="M437" s="9" t="str">
        <x:v>wzms71</x:v>
      </x:c>
    </x:row>
    <x:row r="438" ht="15" hidden="0" customHeight="1">
      <x:c r="A438" s="9" t="str">
        <x:v>Payments basis</x:v>
      </x:c>
      <x:c r="B438" s="9" t="str">
        <x:v>1 Feb-31 Jul 2026</x:v>
      </x:c>
      <x:c r="C438" s="10" t="n">
        <x:v>46094.958333333336</x:v>
      </x:c>
      <x:c r="D438" s="9" t="str">
        <x:v>Purchase</x:v>
      </x:c>
      <x:c r="E438" s="9" t="str">
        <x:v>BNZ bank (pre-import)</x:v>
      </x:c>
      <x:c r="F438" s="9" t="str">
        <x:v>Four Square Albertto · 5996 · 420549141849</x:v>
      </x:c>
      <x:c r="G438" s="11" t="n">
        <x:v>8.58</x:v>
      </x:c>
      <x:c r="H438" s="11" t="n">
        <x:v>0</x:v>
      </x:c>
      <x:c r="I438" s="9" t="str">
        <x:v>N</x:v>
      </x:c>
      <x:c r="J438" s="9" t="str">
        <x:v>High</x:v>
      </x:c>
      <x:c r="K438" s="9" t="str">
        <x:v>Bank description</x:v>
      </x:c>
      <x:c r="L438" s="9" t="str">
        <x:v>Personal, transfer, tax, cash withdrawal, food or entertainment; no GST claim.</x:v>
      </x:c>
      <x:c r="M438" s="9" t="str">
        <x:v>oszv17</x:v>
      </x:c>
    </x:row>
    <x:row r="439" ht="15" hidden="0" customHeight="1">
      <x:c r="A439" s="9" t="str">
        <x:v>Payments basis</x:v>
      </x:c>
      <x:c r="B439" s="9" t="str">
        <x:v>1 Feb-31 Jul 2026</x:v>
      </x:c>
      <x:c r="C439" s="10" t="n">
        <x:v>46095.958333333336</x:v>
      </x:c>
      <x:c r="D439" s="9" t="str">
        <x:v>Purchase</x:v>
      </x:c>
      <x:c r="E439" s="9" t="str">
        <x:v>BNZ bank (pre-import)</x:v>
      </x:c>
      <x:c r="F439" s="9" t="str">
        <x:v>Vincent Smith</x:v>
      </x:c>
      <x:c r="G439" s="11" t="n">
        <x:v>80</x:v>
      </x:c>
      <x:c r="H439" s="11" t="n">
        <x:v>10.43</x:v>
      </x:c>
      <x:c r="I439" s="9" t="str">
        <x:v>Y</x:v>
      </x:c>
      <x:c r="J439" s="9" t="str">
        <x:v>High</x:v>
      </x:c>
      <x:c r="K439" s="9" t="str">
        <x:v>Bank + TradePilot</x:v>
      </x:c>
      <x:c r="L439" s="9" t="str">
        <x:v>Business purchase.</x:v>
      </x:c>
      <x:c r="M439" s="9" t="str">
        <x:v>iwgpsv</x:v>
      </x:c>
    </x:row>
    <x:row r="440" ht="15" hidden="0" customHeight="1">
      <x:c r="A440" s="9" t="str">
        <x:v>Payments basis</x:v>
      </x:c>
      <x:c r="B440" s="9" t="str">
        <x:v>1 Feb-31 Jul 2026</x:v>
      </x:c>
      <x:c r="C440" s="10" t="n">
        <x:v>46095.958333333336</x:v>
      </x:c>
      <x:c r="D440" s="9" t="str">
        <x:v>Purchase</x:v>
      </x:c>
      <x:c r="E440" s="9" t="str">
        <x:v>BNZ bank (pre-import)</x:v>
      </x:c>
      <x:c r="F440" s="9" t="str">
        <x:v>ONE NZ · 5996 · 432129150749</x:v>
      </x:c>
      <x:c r="G440" s="11" t="n">
        <x:v>188.58</x:v>
      </x:c>
      <x:c r="H440" s="11" t="n">
        <x:v>24.6</x:v>
      </x:c>
      <x:c r="I440" s="9" t="str">
        <x:v>Y</x:v>
      </x:c>
      <x:c r="J440" s="9" t="str">
        <x:v>High</x:v>
      </x:c>
      <x:c r="K440" s="9" t="str">
        <x:v>Bank + TradePilot</x:v>
      </x:c>
      <x:c r="L440" s="9" t="str">
        <x:v>Business purchase.</x:v>
      </x:c>
      <x:c r="M440" s="9" t="str">
        <x:v>cuhb5r</x:v>
      </x:c>
    </x:row>
    <x:row r="441" ht="15" hidden="0" customHeight="1">
      <x:c r="A441" s="9" t="str">
        <x:v>Payments basis</x:v>
      </x:c>
      <x:c r="B441" s="9" t="str">
        <x:v>1 Feb-31 Jul 2026</x:v>
      </x:c>
      <x:c r="C441" s="10" t="n">
        <x:v>46095.958333333336</x:v>
      </x:c>
      <x:c r="D441" s="9" t="str">
        <x:v>Purchase</x:v>
      </x:c>
      <x:c r="E441" s="9" t="str">
        <x:v>BNZ bank (pre-import)</x:v>
      </x:c>
      <x:c r="F441" s="9" t="str">
        <x:v>Four Square Albertto · 5996 · 420549151500</x:v>
      </x:c>
      <x:c r="G441" s="11" t="n">
        <x:v>13.79</x:v>
      </x:c>
      <x:c r="H441" s="11" t="n">
        <x:v>0</x:v>
      </x:c>
      <x:c r="I441" s="9" t="str">
        <x:v>N</x:v>
      </x:c>
      <x:c r="J441" s="9" t="str">
        <x:v>High</x:v>
      </x:c>
      <x:c r="K441" s="9" t="str">
        <x:v>Bank description</x:v>
      </x:c>
      <x:c r="L441" s="9" t="str">
        <x:v>Personal, transfer, tax, cash withdrawal, food or entertainment; no GST claim.</x:v>
      </x:c>
      <x:c r="M441" s="9" t="str">
        <x:v>vp5dc4</x:v>
      </x:c>
    </x:row>
    <x:row r="442" ht="15" hidden="0" customHeight="1">
      <x:c r="A442" s="9" t="str">
        <x:v>Payments basis</x:v>
      </x:c>
      <x:c r="B442" s="9" t="str">
        <x:v>1 Feb-31 Jul 2026</x:v>
      </x:c>
      <x:c r="C442" s="10" t="n">
        <x:v>46096.958333333336</x:v>
      </x:c>
      <x:c r="D442" s="9" t="str">
        <x:v>Sale</x:v>
      </x:c>
      <x:c r="E442" s="9" t="str">
        <x:v>BNZ bank</x:v>
      </x:c>
      <x:c r="F442" s="9" t="str">
        <x:v>Turner G A · Inv. Balance · 29 Tomtit</x:v>
      </x:c>
      <x:c r="G442" s="11" t="n">
        <x:v>926.9</x:v>
      </x:c>
      <x:c r="H442" s="11" t="n">
        <x:v>120.9</x:v>
      </x:c>
      <x:c r="I442" s="9" t="str">
        <x:v>Y</x:v>
      </x:c>
      <x:c r="J442" s="9" t="str">
        <x:v>High</x:v>
      </x:c>
      <x:c r="K442" s="9" t="str">
        <x:v>Bank receipt + TradePilot job/income record</x:v>
      </x:c>
      <x:c r="L442" s="9" t="str">
        <x:v>Customer receipt; exact bank amount used.</x:v>
      </x:c>
      <x:c r="M442" s="9" t="str">
        <x:v>xy1lsg</x:v>
      </x:c>
    </x:row>
    <x:row r="443" ht="15" hidden="0" customHeight="1">
      <x:c r="A443" s="9" t="str">
        <x:v>Payments basis</x:v>
      </x:c>
      <x:c r="B443" s="9" t="str">
        <x:v>1 Feb-31 Jul 2026</x:v>
      </x:c>
      <x:c r="C443" s="10" t="n">
        <x:v>46097.958333333336</x:v>
      </x:c>
      <x:c r="D443" s="9" t="str">
        <x:v>Purchase</x:v>
      </x:c>
      <x:c r="E443" s="9" t="str">
        <x:v>BNZ bank (pre-import)</x:v>
      </x:c>
      <x:c r="F443" s="9" t="str">
        <x:v>MITRE 10 MEGA WANAKA · 5996 · 434667171218</x:v>
      </x:c>
      <x:c r="G443" s="11" t="n">
        <x:v>57.19</x:v>
      </x:c>
      <x:c r="H443" s="11" t="n">
        <x:v>7.46</x:v>
      </x:c>
      <x:c r="I443" s="9" t="str">
        <x:v>Y</x:v>
      </x:c>
      <x:c r="J443" s="9" t="str">
        <x:v>High</x:v>
      </x:c>
      <x:c r="K443" s="9" t="str">
        <x:v>Bank + TradePilot</x:v>
      </x:c>
      <x:c r="L443" s="9" t="str">
        <x:v>Business purchase.</x:v>
      </x:c>
      <x:c r="M443" s="9" t="str">
        <x:v>efdaz1</x:v>
      </x:c>
    </x:row>
    <x:row r="444" ht="15" hidden="0" customHeight="1">
      <x:c r="A444" s="9" t="str">
        <x:v>Payments basis</x:v>
      </x:c>
      <x:c r="B444" s="9" t="str">
        <x:v>1 Feb-31 Jul 2026</x:v>
      </x:c>
      <x:c r="C444" s="10" t="n">
        <x:v>46097.958333333336</x:v>
      </x:c>
      <x:c r="D444" s="9" t="str">
        <x:v>Purchase</x:v>
      </x:c>
      <x:c r="E444" s="9" t="str">
        <x:v>BNZ bank (pre-import)</x:v>
      </x:c>
      <x:c r="F444" s="9" t="str">
        <x:v>Resene - Wanaka 087 · 5996 · 420549171114</x:v>
      </x:c>
      <x:c r="G444" s="11" t="n">
        <x:v>175.39</x:v>
      </x:c>
      <x:c r="H444" s="11" t="n">
        <x:v>22.88</x:v>
      </x:c>
      <x:c r="I444" s="9" t="str">
        <x:v>Y</x:v>
      </x:c>
      <x:c r="J444" s="9" t="str">
        <x:v>High</x:v>
      </x:c>
      <x:c r="K444" s="9" t="str">
        <x:v>Bank + TradePilot</x:v>
      </x:c>
      <x:c r="L444" s="9" t="str">
        <x:v>Business purchase.</x:v>
      </x:c>
      <x:c r="M444" s="9" t="str">
        <x:v>rze60d</x:v>
      </x:c>
    </x:row>
    <x:row r="445" ht="15" hidden="0" customHeight="1">
      <x:c r="A445" s="9" t="str">
        <x:v>Payments basis</x:v>
      </x:c>
      <x:c r="B445" s="9" t="str">
        <x:v>1 Feb-31 Jul 2026</x:v>
      </x:c>
      <x:c r="C445" s="10" t="n">
        <x:v>46097.958333333336</x:v>
      </x:c>
      <x:c r="D445" s="9" t="str">
        <x:v>Purchase</x:v>
      </x:c>
      <x:c r="E445" s="9" t="str">
        <x:v>BNZ bank (pre-import)</x:v>
      </x:c>
      <x:c r="F445" s="9" t="str">
        <x:v>Resene - Wanaka 087 · 5996 · 420549171116</x:v>
      </x:c>
      <x:c r="G445" s="11" t="n">
        <x:v>37.5</x:v>
      </x:c>
      <x:c r="H445" s="11" t="n">
        <x:v>4.89</x:v>
      </x:c>
      <x:c r="I445" s="9" t="str">
        <x:v>Y</x:v>
      </x:c>
      <x:c r="J445" s="9" t="str">
        <x:v>High</x:v>
      </x:c>
      <x:c r="K445" s="9" t="str">
        <x:v>Bank + TradePilot</x:v>
      </x:c>
      <x:c r="L445" s="9" t="str">
        <x:v>Business purchase.</x:v>
      </x:c>
      <x:c r="M445" s="9" t="str">
        <x:v>p87mkr</x:v>
      </x:c>
    </x:row>
    <x:row r="446" ht="15" hidden="0" customHeight="1">
      <x:c r="A446" s="9" t="str">
        <x:v>Payments basis</x:v>
      </x:c>
      <x:c r="B446" s="9" t="str">
        <x:v>1 Feb-31 Jul 2026</x:v>
      </x:c>
      <x:c r="C446" s="10" t="n">
        <x:v>46097.958333333336</x:v>
      </x:c>
      <x:c r="D446" s="9" t="str">
        <x:v>Sale</x:v>
      </x:c>
      <x:c r="E446" s="9" t="str">
        <x:v>BNZ bank</x:v>
      </x:c>
      <x:c r="F446" s="9" t="str">
        <x:v>Fiebig W G · Wes  Ailsa</x:v>
      </x:c>
      <x:c r="G446" s="11" t="n">
        <x:v>1287</x:v>
      </x:c>
      <x:c r="H446" s="11" t="n">
        <x:v>167.87</x:v>
      </x:c>
      <x:c r="I446" s="9" t="str">
        <x:v>Y</x:v>
      </x:c>
      <x:c r="J446" s="9" t="str">
        <x:v>High</x:v>
      </x:c>
      <x:c r="K446" s="9" t="str">
        <x:v>Bank receipt + TradePilot job/income record</x:v>
      </x:c>
      <x:c r="L446" s="9" t="str">
        <x:v>Customer receipt; exact bank amount used.</x:v>
      </x:c>
      <x:c r="M446" s="9" t="str">
        <x:v>91akwv</x:v>
      </x:c>
    </x:row>
    <x:row r="447" ht="15" hidden="0" customHeight="1">
      <x:c r="A447" s="9" t="str">
        <x:v>Payments basis</x:v>
      </x:c>
      <x:c r="B447" s="9" t="str">
        <x:v>1 Feb-31 Jul 2026</x:v>
      </x:c>
      <x:c r="C447" s="10" t="n">
        <x:v>46098.958333333336</x:v>
      </x:c>
      <x:c r="D447" s="9" t="str">
        <x:v>Purchase</x:v>
      </x:c>
      <x:c r="E447" s="9" t="str">
        <x:v>BNZ bank (pre-import)</x:v>
      </x:c>
      <x:c r="F447" s="9" t="str">
        <x:v>YouMoney · INTERNET XFR</x:v>
      </x:c>
      <x:c r="G447" s="11" t="n">
        <x:v>500</x:v>
      </x:c>
      <x:c r="H447" s="11" t="n">
        <x:v>0</x:v>
      </x:c>
      <x:c r="I447" s="9" t="str">
        <x:v>N</x:v>
      </x:c>
      <x:c r="J447" s="9" t="str">
        <x:v>High</x:v>
      </x:c>
      <x:c r="K447" s="9" t="str">
        <x:v>Bank description</x:v>
      </x:c>
      <x:c r="L447" s="9" t="str">
        <x:v>Personal, transfer, tax, cash withdrawal, food or entertainment; no GST claim.</x:v>
      </x:c>
      <x:c r="M447" s="9" t="str">
        <x:v>6cx5jn</x:v>
      </x:c>
    </x:row>
    <x:row r="448" ht="15" hidden="0" customHeight="1">
      <x:c r="A448" s="9" t="str">
        <x:v>Payments basis</x:v>
      </x:c>
      <x:c r="B448" s="9" t="str">
        <x:v>1 Feb-31 Jul 2026</x:v>
      </x:c>
      <x:c r="C448" s="10" t="n">
        <x:v>46098.958333333336</x:v>
      </x:c>
      <x:c r="D448" s="9" t="str">
        <x:v>Purchase</x:v>
      </x:c>
      <x:c r="E448" s="9" t="str">
        <x:v>BNZ bank (pre-import)</x:v>
      </x:c>
      <x:c r="F448" s="9" t="str">
        <x:v>Trademax NZ Limited</x:v>
      </x:c>
      <x:c r="G448" s="11" t="n">
        <x:v>238.17</x:v>
      </x:c>
      <x:c r="H448" s="11" t="n">
        <x:v>31.07</x:v>
      </x:c>
      <x:c r="I448" s="9" t="str">
        <x:v>Y</x:v>
      </x:c>
      <x:c r="J448" s="9" t="str">
        <x:v>High</x:v>
      </x:c>
      <x:c r="K448" s="9" t="str">
        <x:v>Bank + TradePilot</x:v>
      </x:c>
      <x:c r="L448" s="9" t="str">
        <x:v>Business purchase.</x:v>
      </x:c>
      <x:c r="M448" s="9" t="str">
        <x:v>vb77v9</x:v>
      </x:c>
    </x:row>
    <x:row r="449" ht="15" hidden="0" customHeight="1">
      <x:c r="A449" s="9" t="str">
        <x:v>Payments basis</x:v>
      </x:c>
      <x:c r="B449" s="9" t="str">
        <x:v>1 Feb-31 Jul 2026</x:v>
      </x:c>
      <x:c r="C449" s="10" t="n">
        <x:v>46098.958333333336</x:v>
      </x:c>
      <x:c r="D449" s="9" t="str">
        <x:v>Purchase</x:v>
      </x:c>
      <x:c r="E449" s="9" t="str">
        <x:v>BNZ bank (pre-import)</x:v>
      </x:c>
      <x:c r="F449" s="9" t="str">
        <x:v>Dulux</x:v>
      </x:c>
      <x:c r="G449" s="11" t="n">
        <x:v>1076.85</x:v>
      </x:c>
      <x:c r="H449" s="11" t="n">
        <x:v>140.46</x:v>
      </x:c>
      <x:c r="I449" s="9" t="str">
        <x:v>Y</x:v>
      </x:c>
      <x:c r="J449" s="9" t="str">
        <x:v>High</x:v>
      </x:c>
      <x:c r="K449" s="9" t="str">
        <x:v>Bank + TradePilot</x:v>
      </x:c>
      <x:c r="L449" s="9" t="str">
        <x:v>Business purchase.</x:v>
      </x:c>
      <x:c r="M449" s="9" t="str">
        <x:v>9d5j4j</x:v>
      </x:c>
    </x:row>
    <x:row r="450" ht="15" hidden="0" customHeight="1">
      <x:c r="A450" s="9" t="str">
        <x:v>Payments basis</x:v>
      </x:c>
      <x:c r="B450" s="9" t="str">
        <x:v>1 Feb-31 Jul 2026</x:v>
      </x:c>
      <x:c r="C450" s="10" t="n">
        <x:v>46099.958333333336</x:v>
      </x:c>
      <x:c r="D450" s="9" t="str">
        <x:v>Purchase</x:v>
      </x:c>
      <x:c r="E450" s="9" t="str">
        <x:v>BNZ bank (pre-import)</x:v>
      </x:c>
      <x:c r="F450" s="9" t="str">
        <x:v>Resene - Wanaka 087 · 5996 · 420549190844</x:v>
      </x:c>
      <x:c r="G450" s="11" t="n">
        <x:v>135.29</x:v>
      </x:c>
      <x:c r="H450" s="11" t="n">
        <x:v>17.65</x:v>
      </x:c>
      <x:c r="I450" s="9" t="str">
        <x:v>Y</x:v>
      </x:c>
      <x:c r="J450" s="9" t="str">
        <x:v>High</x:v>
      </x:c>
      <x:c r="K450" s="9" t="str">
        <x:v>Bank + TradePilot</x:v>
      </x:c>
      <x:c r="L450" s="9" t="str">
        <x:v>Business purchase.</x:v>
      </x:c>
      <x:c r="M450" s="9" t="str">
        <x:v>dztne3</x:v>
      </x:c>
    </x:row>
    <x:row r="451" ht="15" hidden="0" customHeight="1">
      <x:c r="A451" s="9" t="str">
        <x:v>Payments basis</x:v>
      </x:c>
      <x:c r="B451" s="9" t="str">
        <x:v>1 Feb-31 Jul 2026</x:v>
      </x:c>
      <x:c r="C451" s="10" t="n">
        <x:v>46100.958333333336</x:v>
      </x:c>
      <x:c r="D451" s="9" t="str">
        <x:v>Purchase</x:v>
      </x:c>
      <x:c r="E451" s="9" t="str">
        <x:v>BNZ bank (pre-import)</x:v>
      </x:c>
      <x:c r="F451" s="9" t="str">
        <x:v>BP CONNECT WANAKA · 5996 · 492102201504</x:v>
      </x:c>
      <x:c r="G451" s="11" t="n">
        <x:v>162.13</x:v>
      </x:c>
      <x:c r="H451" s="11" t="n">
        <x:v>21.15</x:v>
      </x:c>
      <x:c r="I451" s="9" t="str">
        <x:v>Y</x:v>
      </x:c>
      <x:c r="J451" s="9" t="str">
        <x:v>High</x:v>
      </x:c>
      <x:c r="K451" s="9" t="str">
        <x:v>Bank + TradePilot</x:v>
      </x:c>
      <x:c r="L451" s="9" t="str">
        <x:v>Business purchase.</x:v>
      </x:c>
      <x:c r="M451" s="9" t="str">
        <x:v>mftvb4</x:v>
      </x:c>
    </x:row>
    <x:row r="452" ht="15" hidden="0" customHeight="1">
      <x:c r="A452" s="9" t="str">
        <x:v>Payments basis</x:v>
      </x:c>
      <x:c r="B452" s="9" t="str">
        <x:v>1 Feb-31 Jul 2026</x:v>
      </x:c>
      <x:c r="C452" s="10" t="n">
        <x:v>46100.958333333336</x:v>
      </x:c>
      <x:c r="D452" s="9" t="str">
        <x:v>Purchase</x:v>
      </x:c>
      <x:c r="E452" s="9" t="str">
        <x:v>BNZ bank (pre-import)</x:v>
      </x:c>
      <x:c r="F452" s="9" t="str">
        <x:v>MITRE 10 MEGA WANAKA · 5996 · 434667201208</x:v>
      </x:c>
      <x:c r="G452" s="11" t="n">
        <x:v>90.83</x:v>
      </x:c>
      <x:c r="H452" s="11" t="n">
        <x:v>11.85</x:v>
      </x:c>
      <x:c r="I452" s="9" t="str">
        <x:v>Y</x:v>
      </x:c>
      <x:c r="J452" s="9" t="str">
        <x:v>High</x:v>
      </x:c>
      <x:c r="K452" s="9" t="str">
        <x:v>Bank + TradePilot</x:v>
      </x:c>
      <x:c r="L452" s="9" t="str">
        <x:v>Business purchase.</x:v>
      </x:c>
      <x:c r="M452" s="9" t="str">
        <x:v>a52egs</x:v>
      </x:c>
    </x:row>
    <x:row r="453" ht="15" hidden="0" customHeight="1">
      <x:c r="A453" s="9" t="str">
        <x:v>Payments basis</x:v>
      </x:c>
      <x:c r="B453" s="9" t="str">
        <x:v>1 Feb-31 Jul 2026</x:v>
      </x:c>
      <x:c r="C453" s="10" t="n">
        <x:v>46100.958333333336</x:v>
      </x:c>
      <x:c r="D453" s="9" t="str">
        <x:v>Purchase</x:v>
      </x:c>
      <x:c r="E453" s="9" t="str">
        <x:v>BNZ bank (pre-import)</x:v>
      </x:c>
      <x:c r="F453" s="9" t="str">
        <x:v>MITRE 10 MEGA WANAKA · 5996 · 434667201225</x:v>
      </x:c>
      <x:c r="G453" s="11" t="n">
        <x:v>10.49</x:v>
      </x:c>
      <x:c r="H453" s="11" t="n">
        <x:v>1.37</x:v>
      </x:c>
      <x:c r="I453" s="9" t="str">
        <x:v>Y</x:v>
      </x:c>
      <x:c r="J453" s="9" t="str">
        <x:v>High</x:v>
      </x:c>
      <x:c r="K453" s="9" t="str">
        <x:v>Bank + TradePilot</x:v>
      </x:c>
      <x:c r="L453" s="9" t="str">
        <x:v>Business purchase.</x:v>
      </x:c>
      <x:c r="M453" s="9" t="str">
        <x:v>sstd4t</x:v>
      </x:c>
    </x:row>
    <x:row r="454" ht="15" hidden="0" customHeight="1">
      <x:c r="A454" s="9" t="str">
        <x:v>Payments basis</x:v>
      </x:c>
      <x:c r="B454" s="9" t="str">
        <x:v>1 Feb-31 Jul 2026</x:v>
      </x:c>
      <x:c r="C454" s="10" t="n">
        <x:v>46100.958333333336</x:v>
      </x:c>
      <x:c r="D454" s="9" t="str">
        <x:v>Purchase</x:v>
      </x:c>
      <x:c r="E454" s="9" t="str">
        <x:v>BNZ bank (pre-import)</x:v>
      </x:c>
      <x:c r="F454" s="9" t="str">
        <x:v>YouMoney · INTERNET XFR</x:v>
      </x:c>
      <x:c r="G454" s="11" t="n">
        <x:v>600</x:v>
      </x:c>
      <x:c r="H454" s="11" t="n">
        <x:v>0</x:v>
      </x:c>
      <x:c r="I454" s="9" t="str">
        <x:v>N</x:v>
      </x:c>
      <x:c r="J454" s="9" t="str">
        <x:v>High</x:v>
      </x:c>
      <x:c r="K454" s="9" t="str">
        <x:v>Bank description</x:v>
      </x:c>
      <x:c r="L454" s="9" t="str">
        <x:v>Personal, transfer, tax, cash withdrawal, food or entertainment; no GST claim.</x:v>
      </x:c>
      <x:c r="M454" s="9" t="str">
        <x:v>cenzg3</x:v>
      </x:c>
    </x:row>
    <x:row r="455" ht="15" hidden="0" customHeight="1">
      <x:c r="A455" s="9" t="str">
        <x:v>Payments basis</x:v>
      </x:c>
      <x:c r="B455" s="9" t="str">
        <x:v>1 Feb-31 Jul 2026</x:v>
      </x:c>
      <x:c r="C455" s="10" t="n">
        <x:v>46100.958333333336</x:v>
      </x:c>
      <x:c r="D455" s="9" t="str">
        <x:v>Sale</x:v>
      </x:c>
      <x:c r="E455" s="9" t="str">
        <x:v>BNZ bank</x:v>
      </x:c>
      <x:c r="F455" s="9" t="str">
        <x:v>Latch Build Lim · LATCH</x:v>
      </x:c>
      <x:c r="G455" s="11" t="n">
        <x:v>489.9</x:v>
      </x:c>
      <x:c r="H455" s="11" t="n">
        <x:v>63.9</x:v>
      </x:c>
      <x:c r="I455" s="9" t="str">
        <x:v>Y</x:v>
      </x:c>
      <x:c r="J455" s="9" t="str">
        <x:v>High</x:v>
      </x:c>
      <x:c r="K455" s="9" t="str">
        <x:v>Bank receipt + TradePilot job/income record</x:v>
      </x:c>
      <x:c r="L455" s="9" t="str">
        <x:v>Customer receipt; exact bank amount used.</x:v>
      </x:c>
      <x:c r="M455" s="9" t="str">
        <x:v>t3m0qs</x:v>
      </x:c>
    </x:row>
    <x:row r="456" ht="15" hidden="0" customHeight="1">
      <x:c r="A456" s="9" t="str">
        <x:v>Payments basis</x:v>
      </x:c>
      <x:c r="B456" s="9" t="str">
        <x:v>1 Feb-31 Jul 2026</x:v>
      </x:c>
      <x:c r="C456" s="10" t="n">
        <x:v>46102.958333333336</x:v>
      </x:c>
      <x:c r="D456" s="9" t="str">
        <x:v>Purchase</x:v>
      </x:c>
      <x:c r="E456" s="9" t="str">
        <x:v>BNZ bank (pre-import)</x:v>
      </x:c>
      <x:c r="F456" s="9" t="str">
        <x:v>New World Three Park · 5996 · 420549221302</x:v>
      </x:c>
      <x:c r="G456" s="11" t="n">
        <x:v>330.24</x:v>
      </x:c>
      <x:c r="H456" s="11" t="n">
        <x:v>0</x:v>
      </x:c>
      <x:c r="I456" s="9" t="str">
        <x:v>N</x:v>
      </x:c>
      <x:c r="J456" s="9" t="str">
        <x:v>High</x:v>
      </x:c>
      <x:c r="K456" s="9" t="str">
        <x:v>Bank description</x:v>
      </x:c>
      <x:c r="L456" s="9" t="str">
        <x:v>Personal, transfer, tax, cash withdrawal, food or entertainment; no GST claim.</x:v>
      </x:c>
      <x:c r="M456" s="9" t="str">
        <x:v>teadle</x:v>
      </x:c>
    </x:row>
    <x:row r="457" ht="15" hidden="0" customHeight="1">
      <x:c r="A457" s="9" t="str">
        <x:v>Payments basis</x:v>
      </x:c>
      <x:c r="B457" s="9" t="str">
        <x:v>1 Feb-31 Jul 2026</x:v>
      </x:c>
      <x:c r="C457" s="10" t="n">
        <x:v>46103.958333333336</x:v>
      </x:c>
      <x:c r="D457" s="9" t="str">
        <x:v>Purchase</x:v>
      </x:c>
      <x:c r="E457" s="9" t="str">
        <x:v>BNZ bank (pre-import)</x:v>
      </x:c>
      <x:c r="F457" s="9" t="str">
        <x:v>MITRE 10 MEGA WANAKA · 5996 · 434667231309</x:v>
      </x:c>
      <x:c r="G457" s="11" t="n">
        <x:v>100.97</x:v>
      </x:c>
      <x:c r="H457" s="11" t="n">
        <x:v>13.17</x:v>
      </x:c>
      <x:c r="I457" s="9" t="str">
        <x:v>Y</x:v>
      </x:c>
      <x:c r="J457" s="9" t="str">
        <x:v>High</x:v>
      </x:c>
      <x:c r="K457" s="9" t="str">
        <x:v>Bank + TradePilot</x:v>
      </x:c>
      <x:c r="L457" s="9" t="str">
        <x:v>Business purchase.</x:v>
      </x:c>
      <x:c r="M457" s="9" t="str">
        <x:v>xb1i1</x:v>
      </x:c>
    </x:row>
    <x:row r="458" ht="15" hidden="0" customHeight="1">
      <x:c r="A458" s="9" t="str">
        <x:v>Payments basis</x:v>
      </x:c>
      <x:c r="B458" s="9" t="str">
        <x:v>1 Feb-31 Jul 2026</x:v>
      </x:c>
      <x:c r="C458" s="10" t="n">
        <x:v>46104.958333333336</x:v>
      </x:c>
      <x:c r="D458" s="9" t="str">
        <x:v>Purchase</x:v>
      </x:c>
      <x:c r="E458" s="9" t="str">
        <x:v>BNZ bank (pre-import)</x:v>
      </x:c>
      <x:c r="F458" s="9" t="str">
        <x:v>MITRE 10 MEGA WANAKA · 5996 · 434667241209</x:v>
      </x:c>
      <x:c r="G458" s="11" t="n">
        <x:v>695.98</x:v>
      </x:c>
      <x:c r="H458" s="11" t="n">
        <x:v>90.78</x:v>
      </x:c>
      <x:c r="I458" s="9" t="str">
        <x:v>Y</x:v>
      </x:c>
      <x:c r="J458" s="9" t="str">
        <x:v>High</x:v>
      </x:c>
      <x:c r="K458" s="9" t="str">
        <x:v>Bank + TradePilot</x:v>
      </x:c>
      <x:c r="L458" s="9" t="str">
        <x:v>Business purchase.</x:v>
      </x:c>
      <x:c r="M458" s="9" t="str">
        <x:v>fddb4e</x:v>
      </x:c>
    </x:row>
    <x:row r="459" ht="15" hidden="0" customHeight="1">
      <x:c r="A459" s="9" t="str">
        <x:v>Payments basis</x:v>
      </x:c>
      <x:c r="B459" s="9" t="str">
        <x:v>1 Feb-31 Jul 2026</x:v>
      </x:c>
      <x:c r="C459" s="10" t="n">
        <x:v>46105.958333333336</x:v>
      </x:c>
      <x:c r="D459" s="9" t="str">
        <x:v>Purchase</x:v>
      </x:c>
      <x:c r="E459" s="9" t="str">
        <x:v>BNZ bank (pre-import)</x:v>
      </x:c>
      <x:c r="F459" s="9" t="str">
        <x:v>MITRE 10 MEGA WANAKA · 5996 · 434667251313</x:v>
      </x:c>
      <x:c r="G459" s="11" t="n">
        <x:v>111.87</x:v>
      </x:c>
      <x:c r="H459" s="11" t="n">
        <x:v>14.59</x:v>
      </x:c>
      <x:c r="I459" s="9" t="str">
        <x:v>Y</x:v>
      </x:c>
      <x:c r="J459" s="9" t="str">
        <x:v>High</x:v>
      </x:c>
      <x:c r="K459" s="9" t="str">
        <x:v>Bank + TradePilot</x:v>
      </x:c>
      <x:c r="L459" s="9" t="str">
        <x:v>Business purchase.</x:v>
      </x:c>
      <x:c r="M459" s="9" t="str">
        <x:v>p6ca1l</x:v>
      </x:c>
    </x:row>
    <x:row r="460" ht="15" hidden="0" customHeight="1">
      <x:c r="A460" s="9" t="str">
        <x:v>Payments basis</x:v>
      </x:c>
      <x:c r="B460" s="9" t="str">
        <x:v>1 Feb-31 Jul 2026</x:v>
      </x:c>
      <x:c r="C460" s="10" t="n">
        <x:v>46105.958333333336</x:v>
      </x:c>
      <x:c r="D460" s="9" t="str">
        <x:v>Purchase</x:v>
      </x:c>
      <x:c r="E460" s="9" t="str">
        <x:v>BNZ bank (pre-import)</x:v>
      </x:c>
      <x:c r="F460" s="9" t="str">
        <x:v>RS TRADE CENTRE · 5996 · 434667251203</x:v>
      </x:c>
      <x:c r="G460" s="11" t="n">
        <x:v>100.05</x:v>
      </x:c>
      <x:c r="H460" s="11" t="n">
        <x:v>13.05</x:v>
      </x:c>
      <x:c r="I460" s="9" t="str">
        <x:v>Y</x:v>
      </x:c>
      <x:c r="J460" s="9" t="str">
        <x:v>High</x:v>
      </x:c>
      <x:c r="K460" s="9" t="str">
        <x:v>Bank + TradePilot</x:v>
      </x:c>
      <x:c r="L460" s="9" t="str">
        <x:v>Business purchase.</x:v>
      </x:c>
      <x:c r="M460" s="9" t="str">
        <x:v>8y1rf2</x:v>
      </x:c>
    </x:row>
    <x:row r="461" ht="15" hidden="0" customHeight="1">
      <x:c r="A461" s="9" t="str">
        <x:v>Payments basis</x:v>
      </x:c>
      <x:c r="B461" s="9" t="str">
        <x:v>1 Feb-31 Jul 2026</x:v>
      </x:c>
      <x:c r="C461" s="10" t="n">
        <x:v>46106.958333333336</x:v>
      </x:c>
      <x:c r="D461" s="9" t="str">
        <x:v>Purchase</x:v>
      </x:c>
      <x:c r="E461" s="9" t="str">
        <x:v>BNZ bank (pre-import)</x:v>
      </x:c>
      <x:c r="F461" s="9" t="str">
        <x:v>APPAREL STUDIO · 5996 · 455046261406</x:v>
      </x:c>
      <x:c r="G461" s="11" t="n">
        <x:v>207.62</x:v>
      </x:c>
      <x:c r="H461" s="11" t="n">
        <x:v>27.08</x:v>
      </x:c>
      <x:c r="I461" s="9" t="str">
        <x:v>Y</x:v>
      </x:c>
      <x:c r="J461" s="9" t="str">
        <x:v>High</x:v>
      </x:c>
      <x:c r="K461" s="9" t="str">
        <x:v>Bank + TradePilot</x:v>
      </x:c>
      <x:c r="L461" s="9" t="str">
        <x:v>Business purchase.</x:v>
      </x:c>
      <x:c r="M461" s="9" t="str">
        <x:v>gxpy7v</x:v>
      </x:c>
    </x:row>
    <x:row r="462" ht="15" hidden="0" customHeight="1">
      <x:c r="A462" s="9" t="str">
        <x:v>Payments basis</x:v>
      </x:c>
      <x:c r="B462" s="9" t="str">
        <x:v>1 Feb-31 Jul 2026</x:v>
      </x:c>
      <x:c r="C462" s="10" t="n">
        <x:v>46106.958333333336</x:v>
      </x:c>
      <x:c r="D462" s="9" t="str">
        <x:v>Sale</x:v>
      </x:c>
      <x:c r="E462" s="9" t="str">
        <x:v>BNZ bank</x:v>
      </x:c>
      <x:c r="F462" s="9" t="str">
        <x:v>IVY LANE COTT · Hilarywaller · J7</x:v>
      </x:c>
      <x:c r="G462" s="11" t="n">
        <x:v>4766.75</x:v>
      </x:c>
      <x:c r="H462" s="11" t="n">
        <x:v>621.75</x:v>
      </x:c>
      <x:c r="I462" s="9" t="str">
        <x:v>Y</x:v>
      </x:c>
      <x:c r="J462" s="9" t="str">
        <x:v>High</x:v>
      </x:c>
      <x:c r="K462" s="9" t="str">
        <x:v>Bank receipt + TradePilot job/income record</x:v>
      </x:c>
      <x:c r="L462" s="9" t="str">
        <x:v>Customer receipt; exact bank amount used.</x:v>
      </x:c>
      <x:c r="M462" s="9" t="str">
        <x:v>44ftyw</x:v>
      </x:c>
    </x:row>
    <x:row r="463" ht="15" hidden="0" customHeight="1">
      <x:c r="A463" s="9" t="str">
        <x:v>Payments basis</x:v>
      </x:c>
      <x:c r="B463" s="9" t="str">
        <x:v>1 Feb-31 Jul 2026</x:v>
      </x:c>
      <x:c r="C463" s="10" t="n">
        <x:v>46107.958333333336</x:v>
      </x:c>
      <x:c r="D463" s="9" t="str">
        <x:v>Purchase</x:v>
      </x:c>
      <x:c r="E463" s="9" t="str">
        <x:v>BNZ bank (pre-import)</x:v>
      </x:c>
      <x:c r="F463" s="9" t="str">
        <x:v>ANTHROPIC · 5996 · 401134272036</x:v>
      </x:c>
      <x:c r="G463" s="11" t="n">
        <x:v>40.91</x:v>
      </x:c>
      <x:c r="H463" s="11" t="n">
        <x:v>5.34</x:v>
      </x:c>
      <x:c r="I463" s="9" t="str">
        <x:v>Y</x:v>
      </x:c>
      <x:c r="J463" s="9" t="str">
        <x:v>Review</x:v>
      </x:c>
      <x:c r="K463" s="9" t="str">
        <x:v>Bank + TradePilot; check supplier invoice shows NZ GST</x:v>
      </x:c>
      <x:c r="L463" s="9" t="str">
        <x:v>Included provisionally; overseas software is claimable only if NZ GST was actually charged.</x:v>
      </x:c>
      <x:c r="M463" s="9" t="str">
        <x:v>fei5n8</x:v>
      </x:c>
    </x:row>
    <x:row r="464" ht="15" hidden="0" customHeight="1">
      <x:c r="A464" s="9" t="str">
        <x:v>Payments basis</x:v>
      </x:c>
      <x:c r="B464" s="9" t="str">
        <x:v>1 Feb-31 Jul 2026</x:v>
      </x:c>
      <x:c r="C464" s="10" t="n">
        <x:v>46107.958333333336</x:v>
      </x:c>
      <x:c r="D464" s="9" t="str">
        <x:v>Sale</x:v>
      </x:c>
      <x:c r="E464" s="9" t="str">
        <x:v>BNZ bank</x:v>
      </x:c>
      <x:c r="F464" s="9" t="str">
        <x:v>DAY SAMUEL DA · Mural wallpa · 18 Mason str</x:v>
      </x:c>
      <x:c r="G464" s="11" t="n">
        <x:v>248.4</x:v>
      </x:c>
      <x:c r="H464" s="11" t="n">
        <x:v>32.4</x:v>
      </x:c>
      <x:c r="I464" s="9" t="str">
        <x:v>Y</x:v>
      </x:c>
      <x:c r="J464" s="9" t="str">
        <x:v>High</x:v>
      </x:c>
      <x:c r="K464" s="9" t="str">
        <x:v>Bank receipt + TradePilot job/income record</x:v>
      </x:c>
      <x:c r="L464" s="9" t="str">
        <x:v>Customer receipt; exact bank amount used.</x:v>
      </x:c>
      <x:c r="M464" s="9" t="str">
        <x:v>4qwkld</x:v>
      </x:c>
    </x:row>
    <x:row r="465" ht="15" hidden="0" customHeight="1">
      <x:c r="A465" s="9" t="str">
        <x:v>Payments basis</x:v>
      </x:c>
      <x:c r="B465" s="9" t="str">
        <x:v>1 Feb-31 Jul 2026</x:v>
      </x:c>
      <x:c r="C465" s="10" t="n">
        <x:v>46109.958333333336</x:v>
      </x:c>
      <x:c r="D465" s="9" t="str">
        <x:v>Purchase</x:v>
      </x:c>
      <x:c r="E465" s="9" t="str">
        <x:v>BNZ bank (pre-import)</x:v>
      </x:c>
      <x:c r="F465" s="9" t="str">
        <x:v>OPENAI · 5996 · 449216281457</x:v>
      </x:c>
      <x:c r="G465" s="11" t="n">
        <x:v>20.5</x:v>
      </x:c>
      <x:c r="H465" s="11" t="n">
        <x:v>2.67</x:v>
      </x:c>
      <x:c r="I465" s="9" t="str">
        <x:v>Y</x:v>
      </x:c>
      <x:c r="J465" s="9" t="str">
        <x:v>Review</x:v>
      </x:c>
      <x:c r="K465" s="9" t="str">
        <x:v>Bank + TradePilot; check supplier invoice shows NZ GST</x:v>
      </x:c>
      <x:c r="L465" s="9" t="str">
        <x:v>Included provisionally; overseas software is claimable only if NZ GST was actually charged.</x:v>
      </x:c>
      <x:c r="M465" s="9" t="str">
        <x:v>gblnt</x:v>
      </x:c>
    </x:row>
    <x:row r="466" ht="15" hidden="0" customHeight="1">
      <x:c r="A466" s="9" t="str">
        <x:v>Payments basis</x:v>
      </x:c>
      <x:c r="B466" s="9" t="str">
        <x:v>1 Feb-31 Jul 2026</x:v>
      </x:c>
      <x:c r="C466" s="10" t="n">
        <x:v>46110.958333333336</x:v>
      </x:c>
      <x:c r="D466" s="9" t="str">
        <x:v>Purchase</x:v>
      </x:c>
      <x:c r="E466" s="9" t="str">
        <x:v>BNZ bank (pre-import)</x:v>
      </x:c>
      <x:c r="F466" s="9" t="str">
        <x:v>MITRE 10 MEGA WANAKA · 5996 · 434667301420</x:v>
      </x:c>
      <x:c r="G466" s="11" t="n">
        <x:v>7.99</x:v>
      </x:c>
      <x:c r="H466" s="11" t="n">
        <x:v>1.04</x:v>
      </x:c>
      <x:c r="I466" s="9" t="str">
        <x:v>Y</x:v>
      </x:c>
      <x:c r="J466" s="9" t="str">
        <x:v>High</x:v>
      </x:c>
      <x:c r="K466" s="9" t="str">
        <x:v>Bank + TradePilot</x:v>
      </x:c>
      <x:c r="L466" s="9" t="str">
        <x:v>Business purchase.</x:v>
      </x:c>
      <x:c r="M466" s="9" t="str">
        <x:v>tmyex5</x:v>
      </x:c>
    </x:row>
    <x:row r="467" ht="15" hidden="0" customHeight="1">
      <x:c r="A467" s="9" t="str">
        <x:v>Payments basis</x:v>
      </x:c>
      <x:c r="B467" s="9" t="str">
        <x:v>1 Feb-31 Jul 2026</x:v>
      </x:c>
      <x:c r="C467" s="10" t="n">
        <x:v>46110.958333333336</x:v>
      </x:c>
      <x:c r="D467" s="9" t="str">
        <x:v>Purchase</x:v>
      </x:c>
      <x:c r="E467" s="9" t="str">
        <x:v>BNZ bank (pre-import)</x:v>
      </x:c>
      <x:c r="F467" s="9" t="str">
        <x:v>MITRE 10 MEGA WANAKA · 5996 · 434667301421</x:v>
      </x:c>
      <x:c r="G467" s="11" t="n">
        <x:v>47.94</x:v>
      </x:c>
      <x:c r="H467" s="11" t="n">
        <x:v>6.25</x:v>
      </x:c>
      <x:c r="I467" s="9" t="str">
        <x:v>Y</x:v>
      </x:c>
      <x:c r="J467" s="9" t="str">
        <x:v>High</x:v>
      </x:c>
      <x:c r="K467" s="9" t="str">
        <x:v>Bank + TradePilot</x:v>
      </x:c>
      <x:c r="L467" s="9" t="str">
        <x:v>Business purchase.</x:v>
      </x:c>
      <x:c r="M467" s="9" t="str">
        <x:v>2drpo9</x:v>
      </x:c>
    </x:row>
    <x:row r="468" ht="15" hidden="0" customHeight="1">
      <x:c r="A468" s="9" t="str">
        <x:v>Payments basis</x:v>
      </x:c>
      <x:c r="B468" s="9" t="str">
        <x:v>1 Feb-31 Jul 2026</x:v>
      </x:c>
      <x:c r="C468" s="10" t="n">
        <x:v>46110.958333333336</x:v>
      </x:c>
      <x:c r="D468" s="9" t="str">
        <x:v>Purchase</x:v>
      </x:c>
      <x:c r="E468" s="9" t="str">
        <x:v>BNZ bank (pre-import)</x:v>
      </x:c>
      <x:c r="F468" s="9" t="str">
        <x:v>BP CONNECT WANAKA · 5996 · 492102301455</x:v>
      </x:c>
      <x:c r="G468" s="11" t="n">
        <x:v>110</x:v>
      </x:c>
      <x:c r="H468" s="11" t="n">
        <x:v>14.35</x:v>
      </x:c>
      <x:c r="I468" s="9" t="str">
        <x:v>Y</x:v>
      </x:c>
      <x:c r="J468" s="9" t="str">
        <x:v>High</x:v>
      </x:c>
      <x:c r="K468" s="9" t="str">
        <x:v>Bank + TradePilot</x:v>
      </x:c>
      <x:c r="L468" s="9" t="str">
        <x:v>Business purchase.</x:v>
      </x:c>
      <x:c r="M468" s="9" t="str">
        <x:v>7clvjw</x:v>
      </x:c>
    </x:row>
    <x:row r="469" ht="15" hidden="0" customHeight="1">
      <x:c r="A469" s="9" t="str">
        <x:v>Payments basis</x:v>
      </x:c>
      <x:c r="B469" s="9" t="str">
        <x:v>1 Feb-31 Jul 2026</x:v>
      </x:c>
      <x:c r="C469" s="10" t="n">
        <x:v>46110.958333333336</x:v>
      </x:c>
      <x:c r="D469" s="9" t="str">
        <x:v>Purchase</x:v>
      </x:c>
      <x:c r="E469" s="9" t="str">
        <x:v>BNZ bank (pre-import)</x:v>
      </x:c>
      <x:c r="F469" s="9" t="str">
        <x:v>ALI BARBERS · 5996 · 448131301406</x:v>
      </x:c>
      <x:c r="G469" s="11" t="n">
        <x:v>58</x:v>
      </x:c>
      <x:c r="H469" s="11" t="n">
        <x:v>0</x:v>
      </x:c>
      <x:c r="I469" s="9" t="str">
        <x:v>N</x:v>
      </x:c>
      <x:c r="J469" s="9" t="str">
        <x:v>High</x:v>
      </x:c>
      <x:c r="K469" s="9" t="str">
        <x:v>Bank description</x:v>
      </x:c>
      <x:c r="L469" s="9" t="str">
        <x:v>Personal, transfer, tax, cash withdrawal, food or entertainment; no GST claim.</x:v>
      </x:c>
      <x:c r="M469" s="9" t="str">
        <x:v>up04le</x:v>
      </x:c>
    </x:row>
    <x:row r="470" ht="15" hidden="0" customHeight="1">
      <x:c r="A470" s="9" t="str">
        <x:v>Payments basis</x:v>
      </x:c>
      <x:c r="B470" s="9" t="str">
        <x:v>1 Feb-31 Jul 2026</x:v>
      </x:c>
      <x:c r="C470" s="10" t="n">
        <x:v>46111.958333333336</x:v>
      </x:c>
      <x:c r="D470" s="9" t="str">
        <x:v>Purchase</x:v>
      </x:c>
      <x:c r="E470" s="9" t="str">
        <x:v>BNZ bank (pre-import)</x:v>
      </x:c>
      <x:c r="F470" s="9" t="str">
        <x:v>MITRE 10 MEGA WANAKA · 5996 · 434667311311</x:v>
      </x:c>
      <x:c r="G470" s="11" t="n">
        <x:v>182.2</x:v>
      </x:c>
      <x:c r="H470" s="11" t="n">
        <x:v>23.77</x:v>
      </x:c>
      <x:c r="I470" s="9" t="str">
        <x:v>Y</x:v>
      </x:c>
      <x:c r="J470" s="9" t="str">
        <x:v>High</x:v>
      </x:c>
      <x:c r="K470" s="9" t="str">
        <x:v>Bank + TradePilot</x:v>
      </x:c>
      <x:c r="L470" s="9" t="str">
        <x:v>Business purchase.</x:v>
      </x:c>
      <x:c r="M470" s="9" t="str">
        <x:v>wwtnis</x:v>
      </x:c>
    </x:row>
    <x:row r="471" ht="15" hidden="0" customHeight="1">
      <x:c r="A471" s="9" t="str">
        <x:v>Payments basis</x:v>
      </x:c>
      <x:c r="B471" s="9" t="str">
        <x:v>1 Feb-31 Jul 2026</x:v>
      </x:c>
      <x:c r="C471" s="10" t="n">
        <x:v>46112.958333333336</x:v>
      </x:c>
      <x:c r="D471" s="9" t="str">
        <x:v>Purchase</x:v>
      </x:c>
      <x:c r="E471" s="9" t="str">
        <x:v>BNZ bank (pre-import)</x:v>
      </x:c>
      <x:c r="F471" s="9" t="str">
        <x:v>MITRE 10 MEGA WANAKA · 5996 · 434667011423</x:v>
      </x:c>
      <x:c r="G471" s="11" t="n">
        <x:v>152.45</x:v>
      </x:c>
      <x:c r="H471" s="11" t="n">
        <x:v>19.88</x:v>
      </x:c>
      <x:c r="I471" s="9" t="str">
        <x:v>Y</x:v>
      </x:c>
      <x:c r="J471" s="9" t="str">
        <x:v>High</x:v>
      </x:c>
      <x:c r="K471" s="9" t="str">
        <x:v>Bank + TradePilot</x:v>
      </x:c>
      <x:c r="L471" s="9" t="str">
        <x:v>Business purchase.</x:v>
      </x:c>
      <x:c r="M471" s="9" t="str">
        <x:v>h0e5ht</x:v>
      </x:c>
    </x:row>
    <x:row r="472" ht="15" hidden="0" customHeight="1">
      <x:c r="A472" s="9" t="str">
        <x:v>Payments basis</x:v>
      </x:c>
      <x:c r="B472" s="9" t="str">
        <x:v>1 Feb-31 Jul 2026</x:v>
      </x:c>
      <x:c r="C472" s="10" t="n">
        <x:v>46112.958333333336</x:v>
      </x:c>
      <x:c r="D472" s="9" t="str">
        <x:v>Purchase</x:v>
      </x:c>
      <x:c r="E472" s="9" t="str">
        <x:v>BNZ bank (pre-import)</x:v>
      </x:c>
      <x:c r="F472" s="9" t="str">
        <x:v>Resene - Wanaka 087 · 5996 · 420549010942</x:v>
      </x:c>
      <x:c r="G472" s="11" t="n">
        <x:v>223.83</x:v>
      </x:c>
      <x:c r="H472" s="11" t="n">
        <x:v>29.2</x:v>
      </x:c>
      <x:c r="I472" s="9" t="str">
        <x:v>Y</x:v>
      </x:c>
      <x:c r="J472" s="9" t="str">
        <x:v>High</x:v>
      </x:c>
      <x:c r="K472" s="9" t="str">
        <x:v>Bank + TradePilot</x:v>
      </x:c>
      <x:c r="L472" s="9" t="str">
        <x:v>Business purchase.</x:v>
      </x:c>
      <x:c r="M472" s="9" t="str">
        <x:v>qjn7pd</x:v>
      </x:c>
    </x:row>
    <x:row r="473" ht="15" hidden="0" customHeight="1">
      <x:c r="A473" s="9" t="str">
        <x:v>Payments basis</x:v>
      </x:c>
      <x:c r="B473" s="9" t="str">
        <x:v>1 Feb-31 Jul 2026</x:v>
      </x:c>
      <x:c r="C473" s="10" t="n">
        <x:v>46112.958333333336</x:v>
      </x:c>
      <x:c r="D473" s="9" t="str">
        <x:v>Sale</x:v>
      </x:c>
      <x:c r="E473" s="9" t="str">
        <x:v>BNZ bank</x:v>
      </x:c>
      <x:c r="F473" s="9" t="str">
        <x:v>Home &amp; Co · Lakesidepain</x:v>
      </x:c>
      <x:c r="G473" s="11" t="n">
        <x:v>2501.25</x:v>
      </x:c>
      <x:c r="H473" s="11" t="n">
        <x:v>326.25</x:v>
      </x:c>
      <x:c r="I473" s="9" t="str">
        <x:v>Y</x:v>
      </x:c>
      <x:c r="J473" s="9" t="str">
        <x:v>High</x:v>
      </x:c>
      <x:c r="K473" s="9" t="str">
        <x:v>Bank receipt + TradePilot job/income record</x:v>
      </x:c>
      <x:c r="L473" s="9" t="str">
        <x:v>Customer receipt; exact bank amount used.</x:v>
      </x:c>
      <x:c r="M473" s="9" t="str">
        <x:v>uty5dy</x:v>
      </x:c>
    </x:row>
    <x:row r="474" ht="15" hidden="0" customHeight="1">
      <x:c r="A474" s="9" t="str">
        <x:v>Payments basis</x:v>
      </x:c>
      <x:c r="B474" s="9" t="str">
        <x:v>1 Feb-31 Jul 2026</x:v>
      </x:c>
      <x:c r="C474" s="10" t="n">
        <x:v>46113.958333333336</x:v>
      </x:c>
      <x:c r="D474" s="9" t="str">
        <x:v>Purchase</x:v>
      </x:c>
      <x:c r="E474" s="9" t="str">
        <x:v>BNZ bank (pre-import)</x:v>
      </x:c>
      <x:c r="F474" s="9" t="str">
        <x:v>Google Workspace_lak · 5996 · 453241021356</x:v>
      </x:c>
      <x:c r="G474" s="11" t="n">
        <x:v>14.02</x:v>
      </x:c>
      <x:c r="H474" s="11" t="n">
        <x:v>1.83</x:v>
      </x:c>
      <x:c r="I474" s="9" t="str">
        <x:v>Y</x:v>
      </x:c>
      <x:c r="J474" s="9" t="str">
        <x:v>High</x:v>
      </x:c>
      <x:c r="K474" s="9" t="str">
        <x:v>Bank + TradePilot</x:v>
      </x:c>
      <x:c r="L474" s="9" t="str">
        <x:v>Business purchase.</x:v>
      </x:c>
      <x:c r="M474" s="9" t="str">
        <x:v>vx3q57</x:v>
      </x:c>
    </x:row>
    <x:row r="475" ht="15" hidden="0" customHeight="1">
      <x:c r="A475" s="9" t="str">
        <x:v>Payments basis</x:v>
      </x:c>
      <x:c r="B475" s="9" t="str">
        <x:v>1 Feb-31 Jul 2026</x:v>
      </x:c>
      <x:c r="C475" s="10" t="n">
        <x:v>46113.958333333336</x:v>
      </x:c>
      <x:c r="D475" s="9" t="str">
        <x:v>Purchase</x:v>
      </x:c>
      <x:c r="E475" s="9" t="str">
        <x:v>BNZ bank (pre-import)</x:v>
      </x:c>
      <x:c r="F475" s="9" t="str">
        <x:v>CLAUDE.AI SUBSCRIPTI · 5996 · 401134022140</x:v>
      </x:c>
      <x:c r="G475" s="11" t="n">
        <x:v>40</x:v>
      </x:c>
      <x:c r="H475" s="11" t="n">
        <x:v>5.22</x:v>
      </x:c>
      <x:c r="I475" s="9" t="str">
        <x:v>Y</x:v>
      </x:c>
      <x:c r="J475" s="9" t="str">
        <x:v>Review</x:v>
      </x:c>
      <x:c r="K475" s="9" t="str">
        <x:v>Bank + TradePilot; check supplier invoice shows NZ GST</x:v>
      </x:c>
      <x:c r="L475" s="9" t="str">
        <x:v>Included provisionally; overseas software is claimable only if NZ GST was actually charged.</x:v>
      </x:c>
      <x:c r="M475" s="9" t="str">
        <x:v>who88x</x:v>
      </x:c>
    </x:row>
    <x:row r="476" ht="15" hidden="0" customHeight="1">
      <x:c r="A476" s="9" t="str">
        <x:v>Payments basis</x:v>
      </x:c>
      <x:c r="B476" s="9" t="str">
        <x:v>1 Feb-31 Jul 2026</x:v>
      </x:c>
      <x:c r="C476" s="10" t="n">
        <x:v>46113.958333333336</x:v>
      </x:c>
      <x:c r="D476" s="9" t="str">
        <x:v>Purchase</x:v>
      </x:c>
      <x:c r="E476" s="9" t="str">
        <x:v>BNZ bank (pre-import)</x:v>
      </x:c>
      <x:c r="F476" s="9" t="str">
        <x:v>CURSOR  AI POWERED I · 5996 · 401134022237</x:v>
      </x:c>
      <x:c r="G476" s="11" t="n">
        <x:v>36.46</x:v>
      </x:c>
      <x:c r="H476" s="11" t="n">
        <x:v>4.76</x:v>
      </x:c>
      <x:c r="I476" s="9" t="str">
        <x:v>Y</x:v>
      </x:c>
      <x:c r="J476" s="9" t="str">
        <x:v>Review</x:v>
      </x:c>
      <x:c r="K476" s="9" t="str">
        <x:v>Bank + TradePilot; check supplier invoice shows NZ GST</x:v>
      </x:c>
      <x:c r="L476" s="9" t="str">
        <x:v>Included provisionally; overseas software is claimable only if NZ GST was actually charged.</x:v>
      </x:c>
      <x:c r="M476" s="9" t="str">
        <x:v>zaoeuq</x:v>
      </x:c>
    </x:row>
    <x:row r="477" ht="15" hidden="0" customHeight="1">
      <x:c r="A477" s="9" t="str">
        <x:v>Payments basis</x:v>
      </x:c>
      <x:c r="B477" s="9" t="str">
        <x:v>1 Feb-31 Jul 2026</x:v>
      </x:c>
      <x:c r="C477" s="10" t="n">
        <x:v>46114.958333333336</x:v>
      </x:c>
      <x:c r="D477" s="9" t="str">
        <x:v>Purchase</x:v>
      </x:c>
      <x:c r="E477" s="9" t="str">
        <x:v>BNZ bank (pre-import)</x:v>
      </x:c>
      <x:c r="F477" s="9" t="str">
        <x:v>BIKE GLENDHU LTD · 5996 · 451836031542</x:v>
      </x:c>
      <x:c r="G477" s="11" t="n">
        <x:v>22.44</x:v>
      </x:c>
      <x:c r="H477" s="11" t="n">
        <x:v>0</x:v>
      </x:c>
      <x:c r="I477" s="9" t="str">
        <x:v>N</x:v>
      </x:c>
      <x:c r="J477" s="9" t="str">
        <x:v>High</x:v>
      </x:c>
      <x:c r="K477" s="9" t="str">
        <x:v>Bank description</x:v>
      </x:c>
      <x:c r="L477" s="9" t="str">
        <x:v>Personal, transfer, tax, cash withdrawal, food or entertainment; no GST claim.</x:v>
      </x:c>
      <x:c r="M477" s="9" t="str">
        <x:v>8dyve4</x:v>
      </x:c>
    </x:row>
    <x:row r="478" ht="15" hidden="0" customHeight="1">
      <x:c r="A478" s="9" t="str">
        <x:v>Payments basis</x:v>
      </x:c>
      <x:c r="B478" s="9" t="str">
        <x:v>1 Feb-31 Jul 2026</x:v>
      </x:c>
      <x:c r="C478" s="10" t="n">
        <x:v>46117</x:v>
      </x:c>
      <x:c r="D478" s="9" t="str">
        <x:v>Purchase</x:v>
      </x:c>
      <x:c r="E478" s="9" t="str">
        <x:v>BNZ bank (pre-import)</x:v>
      </x:c>
      <x:c r="F478" s="9" t="str">
        <x:v>BP CONNECT WANAKA · 5996 · 492102050839</x:v>
      </x:c>
      <x:c r="G478" s="11" t="n">
        <x:v>100.35</x:v>
      </x:c>
      <x:c r="H478" s="11" t="n">
        <x:v>13.09</x:v>
      </x:c>
      <x:c r="I478" s="9" t="str">
        <x:v>Y</x:v>
      </x:c>
      <x:c r="J478" s="9" t="str">
        <x:v>High</x:v>
      </x:c>
      <x:c r="K478" s="9" t="str">
        <x:v>Bank + TradePilot</x:v>
      </x:c>
      <x:c r="L478" s="9" t="str">
        <x:v>Business purchase.</x:v>
      </x:c>
      <x:c r="M478" s="9" t="str">
        <x:v>80tyi5</x:v>
      </x:c>
    </x:row>
    <x:row r="479" ht="15" hidden="0" customHeight="1">
      <x:c r="A479" s="9" t="str">
        <x:v>Payments basis</x:v>
      </x:c>
      <x:c r="B479" s="9" t="str">
        <x:v>1 Feb-31 Jul 2026</x:v>
      </x:c>
      <x:c r="C479" s="10" t="n">
        <x:v>46118</x:v>
      </x:c>
      <x:c r="D479" s="9" t="str">
        <x:v>Purchase</x:v>
      </x:c>
      <x:c r="E479" s="9" t="str">
        <x:v>BNZ bank (pre-import)</x:v>
      </x:c>
      <x:c r="F479" s="9" t="str">
        <x:v>MITRE 10 MEGA WANAKA · 5996 · 434667061324</x:v>
      </x:c>
      <x:c r="G479" s="11" t="n">
        <x:v>53.92</x:v>
      </x:c>
      <x:c r="H479" s="11" t="n">
        <x:v>7.03</x:v>
      </x:c>
      <x:c r="I479" s="9" t="str">
        <x:v>Y</x:v>
      </x:c>
      <x:c r="J479" s="9" t="str">
        <x:v>High</x:v>
      </x:c>
      <x:c r="K479" s="9" t="str">
        <x:v>Bank + TradePilot</x:v>
      </x:c>
      <x:c r="L479" s="9" t="str">
        <x:v>Business purchase.</x:v>
      </x:c>
      <x:c r="M479" s="9" t="str">
        <x:v>e4374b</x:v>
      </x:c>
    </x:row>
    <x:row r="480" ht="15" hidden="0" customHeight="1">
      <x:c r="A480" s="9" t="str">
        <x:v>Payments basis</x:v>
      </x:c>
      <x:c r="B480" s="9" t="str">
        <x:v>1 Feb-31 Jul 2026</x:v>
      </x:c>
      <x:c r="C480" s="10" t="n">
        <x:v>46118</x:v>
      </x:c>
      <x:c r="D480" s="9" t="str">
        <x:v>Purchase</x:v>
      </x:c>
      <x:c r="E480" s="9" t="str">
        <x:v>BNZ bank (pre-import)</x:v>
      </x:c>
      <x:c r="F480" s="9" t="str">
        <x:v>MITRE 10 MEGA WANAKA · 5996 · 434667061325</x:v>
      </x:c>
      <x:c r="G480" s="11" t="n">
        <x:v>35.18</x:v>
      </x:c>
      <x:c r="H480" s="11" t="n">
        <x:v>4.59</x:v>
      </x:c>
      <x:c r="I480" s="9" t="str">
        <x:v>Y</x:v>
      </x:c>
      <x:c r="J480" s="9" t="str">
        <x:v>High</x:v>
      </x:c>
      <x:c r="K480" s="9" t="str">
        <x:v>Bank + TradePilot</x:v>
      </x:c>
      <x:c r="L480" s="9" t="str">
        <x:v>Business purchase.</x:v>
      </x:c>
      <x:c r="M480" s="9" t="str">
        <x:v>663vey</x:v>
      </x:c>
    </x:row>
    <x:row r="481" ht="15" hidden="0" customHeight="1">
      <x:c r="A481" s="9" t="str">
        <x:v>Payments basis</x:v>
      </x:c>
      <x:c r="B481" s="9" t="str">
        <x:v>1 Feb-31 Jul 2026</x:v>
      </x:c>
      <x:c r="C481" s="10" t="n">
        <x:v>46119</x:v>
      </x:c>
      <x:c r="D481" s="9" t="str">
        <x:v>Purchase</x:v>
      </x:c>
      <x:c r="E481" s="9" t="str">
        <x:v>BNZ bank (pre-import)</x:v>
      </x:c>
      <x:c r="F481" s="9" t="str">
        <x:v>OPENAI *CHATGPT SUBS · 5996 · 449216072006</x:v>
      </x:c>
      <x:c r="G481" s="11" t="n">
        <x:v>41.41</x:v>
      </x:c>
      <x:c r="H481" s="11" t="n">
        <x:v>5.4</x:v>
      </x:c>
      <x:c r="I481" s="9" t="str">
        <x:v>Y</x:v>
      </x:c>
      <x:c r="J481" s="9" t="str">
        <x:v>Review</x:v>
      </x:c>
      <x:c r="K481" s="9" t="str">
        <x:v>Bank + TradePilot; check supplier invoice shows NZ GST</x:v>
      </x:c>
      <x:c r="L481" s="9" t="str">
        <x:v>Included provisionally; overseas software is claimable only if NZ GST was actually charged.</x:v>
      </x:c>
      <x:c r="M481" s="9" t="str">
        <x:v>j97vwj</x:v>
      </x:c>
    </x:row>
    <x:row r="482" ht="15" hidden="0" customHeight="1">
      <x:c r="A482" s="9" t="str">
        <x:v>Payments basis</x:v>
      </x:c>
      <x:c r="B482" s="9" t="str">
        <x:v>1 Feb-31 Jul 2026</x:v>
      </x:c>
      <x:c r="C482" s="10" t="n">
        <x:v>46120</x:v>
      </x:c>
      <x:c r="D482" s="9" t="str">
        <x:v>Purchase</x:v>
      </x:c>
      <x:c r="E482" s="9" t="str">
        <x:v>BNZ bank (pre-import)</x:v>
      </x:c>
      <x:c r="F482" s="9" t="str">
        <x:v>RS TRADE CENTRE · 5996 · 434667081421</x:v>
      </x:c>
      <x:c r="G482" s="11" t="n">
        <x:v>100.97</x:v>
      </x:c>
      <x:c r="H482" s="11" t="n">
        <x:v>13.17</x:v>
      </x:c>
      <x:c r="I482" s="9" t="str">
        <x:v>Y</x:v>
      </x:c>
      <x:c r="J482" s="9" t="str">
        <x:v>High</x:v>
      </x:c>
      <x:c r="K482" s="9" t="str">
        <x:v>Bank + TradePilot</x:v>
      </x:c>
      <x:c r="L482" s="9" t="str">
        <x:v>Business purchase.</x:v>
      </x:c>
      <x:c r="M482" s="9" t="str">
        <x:v>h0i3ya</x:v>
      </x:c>
    </x:row>
    <x:row r="483" ht="15" hidden="0" customHeight="1">
      <x:c r="A483" s="9" t="str">
        <x:v>Payments basis</x:v>
      </x:c>
      <x:c r="B483" s="9" t="str">
        <x:v>1 Feb-31 Jul 2026</x:v>
      </x:c>
      <x:c r="C483" s="10" t="n">
        <x:v>46120</x:v>
      </x:c>
      <x:c r="D483" s="9" t="str">
        <x:v>Purchase</x:v>
      </x:c>
      <x:c r="E483" s="9" t="str">
        <x:v>BNZ bank (pre-import)</x:v>
      </x:c>
      <x:c r="F483" s="9" t="str">
        <x:v>Resene - Wanaka 087 · 5996 · 420549080951</x:v>
      </x:c>
      <x:c r="G483" s="11" t="n">
        <x:v>132.49</x:v>
      </x:c>
      <x:c r="H483" s="11" t="n">
        <x:v>17.28</x:v>
      </x:c>
      <x:c r="I483" s="9" t="str">
        <x:v>Y</x:v>
      </x:c>
      <x:c r="J483" s="9" t="str">
        <x:v>High</x:v>
      </x:c>
      <x:c r="K483" s="9" t="str">
        <x:v>Bank + TradePilot</x:v>
      </x:c>
      <x:c r="L483" s="9" t="str">
        <x:v>Business purchase.</x:v>
      </x:c>
      <x:c r="M483" s="9" t="str">
        <x:v>fz1nqo</x:v>
      </x:c>
    </x:row>
    <x:row r="484" ht="15" hidden="0" customHeight="1">
      <x:c r="A484" s="9" t="str">
        <x:v>Payments basis</x:v>
      </x:c>
      <x:c r="B484" s="9" t="str">
        <x:v>1 Feb-31 Jul 2026</x:v>
      </x:c>
      <x:c r="C484" s="10" t="n">
        <x:v>46120</x:v>
      </x:c>
      <x:c r="D484" s="9" t="str">
        <x:v>Purchase</x:v>
      </x:c>
      <x:c r="E484" s="9" t="str">
        <x:v>BNZ bank (pre-import)</x:v>
      </x:c>
      <x:c r="F484" s="9" t="str">
        <x:v>Resene - Wanaka 087 · 5996 · 420549081047</x:v>
      </x:c>
      <x:c r="G484" s="11" t="n">
        <x:v>39.1</x:v>
      </x:c>
      <x:c r="H484" s="11" t="n">
        <x:v>5.1</x:v>
      </x:c>
      <x:c r="I484" s="9" t="str">
        <x:v>Y</x:v>
      </x:c>
      <x:c r="J484" s="9" t="str">
        <x:v>High</x:v>
      </x:c>
      <x:c r="K484" s="9" t="str">
        <x:v>Bank + TradePilot</x:v>
      </x:c>
      <x:c r="L484" s="9" t="str">
        <x:v>Business purchase.</x:v>
      </x:c>
      <x:c r="M484" s="9" t="str">
        <x:v>ormwt3</x:v>
      </x:c>
    </x:row>
    <x:row r="485" ht="15" hidden="0" customHeight="1">
      <x:c r="A485" s="9" t="str">
        <x:v>Payments basis</x:v>
      </x:c>
      <x:c r="B485" s="9" t="str">
        <x:v>1 Feb-31 Jul 2026</x:v>
      </x:c>
      <x:c r="C485" s="10" t="n">
        <x:v>46121</x:v>
      </x:c>
      <x:c r="D485" s="9" t="str">
        <x:v>Purchase</x:v>
      </x:c>
      <x:c r="E485" s="9" t="str">
        <x:v>BNZ bank (pre-import)</x:v>
      </x:c>
      <x:c r="F485" s="9" t="str">
        <x:v>Resene - Wanaka 087 · 5996 · 420549091000</x:v>
      </x:c>
      <x:c r="G485" s="11" t="n">
        <x:v>42.18</x:v>
      </x:c>
      <x:c r="H485" s="11" t="n">
        <x:v>5.5</x:v>
      </x:c>
      <x:c r="I485" s="9" t="str">
        <x:v>Y</x:v>
      </x:c>
      <x:c r="J485" s="9" t="str">
        <x:v>High</x:v>
      </x:c>
      <x:c r="K485" s="9" t="str">
        <x:v>Bank + TradePilot</x:v>
      </x:c>
      <x:c r="L485" s="9" t="str">
        <x:v>Business purchase.</x:v>
      </x:c>
      <x:c r="M485" s="9" t="str">
        <x:v>lghf9s</x:v>
      </x:c>
    </x:row>
    <x:row r="486" ht="15" hidden="0" customHeight="1">
      <x:c r="A486" s="9" t="str">
        <x:v>Payments basis</x:v>
      </x:c>
      <x:c r="B486" s="9" t="str">
        <x:v>1 Feb-31 Jul 2026</x:v>
      </x:c>
      <x:c r="C486" s="10" t="n">
        <x:v>46121</x:v>
      </x:c>
      <x:c r="D486" s="9" t="str">
        <x:v>Purchase</x:v>
      </x:c>
      <x:c r="E486" s="9" t="str">
        <x:v>BNZ bank (pre-import)</x:v>
      </x:c>
      <x:c r="F486" s="9" t="str">
        <x:v>MITRE 10 MEGA WANAKA · 5996 · 434667091252</x:v>
      </x:c>
      <x:c r="G486" s="11" t="n">
        <x:v>78.69</x:v>
      </x:c>
      <x:c r="H486" s="11" t="n">
        <x:v>10.26</x:v>
      </x:c>
      <x:c r="I486" s="9" t="str">
        <x:v>Y</x:v>
      </x:c>
      <x:c r="J486" s="9" t="str">
        <x:v>High</x:v>
      </x:c>
      <x:c r="K486" s="9" t="str">
        <x:v>Bank + TradePilot</x:v>
      </x:c>
      <x:c r="L486" s="9" t="str">
        <x:v>Business purchase.</x:v>
      </x:c>
      <x:c r="M486" s="9" t="str">
        <x:v>v4ht0</x:v>
      </x:c>
    </x:row>
    <x:row r="487" ht="15" hidden="0" customHeight="1">
      <x:c r="A487" s="9" t="str">
        <x:v>Payments basis</x:v>
      </x:c>
      <x:c r="B487" s="9" t="str">
        <x:v>1 Feb-31 Jul 2026</x:v>
      </x:c>
      <x:c r="C487" s="10" t="n">
        <x:v>46122</x:v>
      </x:c>
      <x:c r="D487" s="9" t="str">
        <x:v>Purchase</x:v>
      </x:c>
      <x:c r="E487" s="9" t="str">
        <x:v>BNZ bank (pre-import)</x:v>
      </x:c>
      <x:c r="F487" s="9" t="str">
        <x:v>Samuel Day</x:v>
      </x:c>
      <x:c r="G487" s="11" t="n">
        <x:v>248.4</x:v>
      </x:c>
      <x:c r="H487" s="11" t="n">
        <x:v>0</x:v>
      </x:c>
      <x:c r="I487" s="9" t="str">
        <x:v>N</x:v>
      </x:c>
      <x:c r="J487" s="9" t="str">
        <x:v>Review</x:v>
      </x:c>
      <x:c r="K487" s="9" t="str">
        <x:v>Bank only</x:v>
      </x:c>
      <x:c r="L487" s="9" t="str">
        <x:v>Not clearly business or GST-bearing from the available records.</x:v>
      </x:c>
      <x:c r="M487" s="9" t="str">
        <x:v>g4ledc</x:v>
      </x:c>
    </x:row>
    <x:row r="488" ht="15" hidden="0" customHeight="1">
      <x:c r="A488" s="9" t="str">
        <x:v>Payments basis</x:v>
      </x:c>
      <x:c r="B488" s="9" t="str">
        <x:v>1 Feb-31 Jul 2026</x:v>
      </x:c>
      <x:c r="C488" s="10" t="n">
        <x:v>46122</x:v>
      </x:c>
      <x:c r="D488" s="9" t="str">
        <x:v>Sale</x:v>
      </x:c>
      <x:c r="E488" s="9" t="str">
        <x:v>BNZ bank</x:v>
      </x:c>
      <x:c r="F488" s="9" t="str">
        <x:v>CASHEN MARK R · Leigh Cashen</x:v>
      </x:c>
      <x:c r="G488" s="11" t="n">
        <x:v>563.5</x:v>
      </x:c>
      <x:c r="H488" s="11" t="n">
        <x:v>73.5</x:v>
      </x:c>
      <x:c r="I488" s="9" t="str">
        <x:v>Y</x:v>
      </x:c>
      <x:c r="J488" s="9" t="str">
        <x:v>High</x:v>
      </x:c>
      <x:c r="K488" s="9" t="str">
        <x:v>Bank receipt + TradePilot job/income record</x:v>
      </x:c>
      <x:c r="L488" s="9" t="str">
        <x:v>Customer receipt; exact bank amount used.</x:v>
      </x:c>
      <x:c r="M488" s="9" t="str">
        <x:v>4fmsm1</x:v>
      </x:c>
    </x:row>
    <x:row r="489" ht="15" hidden="0" customHeight="1">
      <x:c r="A489" s="9" t="str">
        <x:v>Payments basis</x:v>
      </x:c>
      <x:c r="B489" s="9" t="str">
        <x:v>1 Feb-31 Jul 2026</x:v>
      </x:c>
      <x:c r="C489" s="10" t="n">
        <x:v>46123</x:v>
      </x:c>
      <x:c r="D489" s="9" t="str">
        <x:v>Purchase</x:v>
      </x:c>
      <x:c r="E489" s="9" t="str">
        <x:v>BNZ bank (pre-import)</x:v>
      </x:c>
      <x:c r="F489" s="9" t="str">
        <x:v>MITRE 10 MEGA WANAKA · 5996 · 434667110959</x:v>
      </x:c>
      <x:c r="G489" s="11" t="n">
        <x:v>248.86</x:v>
      </x:c>
      <x:c r="H489" s="11" t="n">
        <x:v>32.46</x:v>
      </x:c>
      <x:c r="I489" s="9" t="str">
        <x:v>Y</x:v>
      </x:c>
      <x:c r="J489" s="9" t="str">
        <x:v>High</x:v>
      </x:c>
      <x:c r="K489" s="9" t="str">
        <x:v>Bank + TradePilot</x:v>
      </x:c>
      <x:c r="L489" s="9" t="str">
        <x:v>Business purchase.</x:v>
      </x:c>
      <x:c r="M489" s="9" t="str">
        <x:v>kvqp7t</x:v>
      </x:c>
    </x:row>
    <x:row r="490" ht="15" hidden="0" customHeight="1">
      <x:c r="A490" s="9" t="str">
        <x:v>Payments basis</x:v>
      </x:c>
      <x:c r="B490" s="9" t="str">
        <x:v>1 Feb-31 Jul 2026</x:v>
      </x:c>
      <x:c r="C490" s="10" t="n">
        <x:v>46123</x:v>
      </x:c>
      <x:c r="D490" s="9" t="str">
        <x:v>Purchase</x:v>
      </x:c>
      <x:c r="E490" s="9" t="str">
        <x:v>BNZ bank (pre-import)</x:v>
      </x:c>
      <x:c r="F490" s="9" t="str">
        <x:v>NOW BAO · 5996 · 451836111557</x:v>
      </x:c>
      <x:c r="G490" s="11" t="n">
        <x:v>15.3</x:v>
      </x:c>
      <x:c r="H490" s="11" t="n">
        <x:v>0</x:v>
      </x:c>
      <x:c r="I490" s="9" t="str">
        <x:v>N</x:v>
      </x:c>
      <x:c r="J490" s="9" t="str">
        <x:v>High</x:v>
      </x:c>
      <x:c r="K490" s="9" t="str">
        <x:v>Bank description</x:v>
      </x:c>
      <x:c r="L490" s="9" t="str">
        <x:v>Personal, transfer, tax, cash withdrawal, food or entertainment; no GST claim.</x:v>
      </x:c>
      <x:c r="M490" s="9" t="str">
        <x:v>jj95zf</x:v>
      </x:c>
    </x:row>
    <x:row r="491" ht="15" hidden="0" customHeight="1">
      <x:c r="A491" s="9" t="str">
        <x:v>Payments basis</x:v>
      </x:c>
      <x:c r="B491" s="9" t="str">
        <x:v>1 Feb-31 Jul 2026</x:v>
      </x:c>
      <x:c r="C491" s="10" t="n">
        <x:v>46123</x:v>
      </x:c>
      <x:c r="D491" s="9" t="str">
        <x:v>Purchase</x:v>
      </x:c>
      <x:c r="E491" s="9" t="str">
        <x:v>BNZ bank (pre-import)</x:v>
      </x:c>
      <x:c r="F491" s="9" t="str">
        <x:v>SPOTIFY · 5996 · 414361111505</x:v>
      </x:c>
      <x:c r="G491" s="11" t="n">
        <x:v>25.49</x:v>
      </x:c>
      <x:c r="H491" s="11" t="n">
        <x:v>0</x:v>
      </x:c>
      <x:c r="I491" s="9" t="str">
        <x:v>N</x:v>
      </x:c>
      <x:c r="J491" s="9" t="str">
        <x:v>High</x:v>
      </x:c>
      <x:c r="K491" s="9" t="str">
        <x:v>Bank description</x:v>
      </x:c>
      <x:c r="L491" s="9" t="str">
        <x:v>Personal, transfer, tax, cash withdrawal, food or entertainment; no GST claim.</x:v>
      </x:c>
      <x:c r="M491" s="9" t="str">
        <x:v>mscnb</x:v>
      </x:c>
    </x:row>
    <x:row r="492" ht="15" hidden="0" customHeight="1">
      <x:c r="A492" s="9" t="str">
        <x:v>Payments basis</x:v>
      </x:c>
      <x:c r="B492" s="9" t="str">
        <x:v>1 Feb-31 Jul 2026</x:v>
      </x:c>
      <x:c r="C492" s="10" t="n">
        <x:v>46124</x:v>
      </x:c>
      <x:c r="D492" s="9" t="str">
        <x:v>Purchase</x:v>
      </x:c>
      <x:c r="E492" s="9" t="str">
        <x:v>BNZ bank (pre-import)</x:v>
      </x:c>
      <x:c r="F492" s="9" t="str">
        <x:v>OPENAI · 5996 · 449216121549</x:v>
      </x:c>
      <x:c r="G492" s="11" t="n">
        <x:v>40.33</x:v>
      </x:c>
      <x:c r="H492" s="11" t="n">
        <x:v>5.26</x:v>
      </x:c>
      <x:c r="I492" s="9" t="str">
        <x:v>Y</x:v>
      </x:c>
      <x:c r="J492" s="9" t="str">
        <x:v>Review</x:v>
      </x:c>
      <x:c r="K492" s="9" t="str">
        <x:v>Bank + TradePilot; check supplier invoice shows NZ GST</x:v>
      </x:c>
      <x:c r="L492" s="9" t="str">
        <x:v>Included provisionally; overseas software is claimable only if NZ GST was actually charged.</x:v>
      </x:c>
      <x:c r="M492" s="9" t="str">
        <x:v>650bki</x:v>
      </x:c>
    </x:row>
    <x:row r="493" ht="15" hidden="0" customHeight="1">
      <x:c r="A493" s="9" t="str">
        <x:v>Payments basis</x:v>
      </x:c>
      <x:c r="B493" s="9" t="str">
        <x:v>1 Feb-31 Jul 2026</x:v>
      </x:c>
      <x:c r="C493" s="10" t="n">
        <x:v>46125</x:v>
      </x:c>
      <x:c r="D493" s="9" t="str">
        <x:v>Purchase</x:v>
      </x:c>
      <x:c r="E493" s="9" t="str">
        <x:v>BNZ bank (pre-import)</x:v>
      </x:c>
      <x:c r="F493" s="9" t="str">
        <x:v>BP CONNECT WANAKA · 5996 · 492102131357</x:v>
      </x:c>
      <x:c r="G493" s="11" t="n">
        <x:v>100.79</x:v>
      </x:c>
      <x:c r="H493" s="11" t="n">
        <x:v>13.15</x:v>
      </x:c>
      <x:c r="I493" s="9" t="str">
        <x:v>Y</x:v>
      </x:c>
      <x:c r="J493" s="9" t="str">
        <x:v>High</x:v>
      </x:c>
      <x:c r="K493" s="9" t="str">
        <x:v>Bank + TradePilot</x:v>
      </x:c>
      <x:c r="L493" s="9" t="str">
        <x:v>Business purchase.</x:v>
      </x:c>
      <x:c r="M493" s="9" t="str">
        <x:v>z51w5r</x:v>
      </x:c>
    </x:row>
    <x:row r="494" ht="15" hidden="0" customHeight="1">
      <x:c r="A494" s="9" t="str">
        <x:v>Payments basis</x:v>
      </x:c>
      <x:c r="B494" s="9" t="str">
        <x:v>1 Feb-31 Jul 2026</x:v>
      </x:c>
      <x:c r="C494" s="10" t="n">
        <x:v>46125</x:v>
      </x:c>
      <x:c r="D494" s="9" t="str">
        <x:v>Purchase</x:v>
      </x:c>
      <x:c r="E494" s="9" t="str">
        <x:v>BNZ bank (pre-import)</x:v>
      </x:c>
      <x:c r="F494" s="9" t="str">
        <x:v>Wanaka Nlake · 5996 · 420549131012</x:v>
      </x:c>
      <x:c r="G494" s="11" t="n">
        <x:v>10</x:v>
      </x:c>
      <x:c r="H494" s="11" t="n">
        <x:v>0</x:v>
      </x:c>
      <x:c r="I494" s="9" t="str">
        <x:v>N</x:v>
      </x:c>
      <x:c r="J494" s="9" t="str">
        <x:v>Review</x:v>
      </x:c>
      <x:c r="K494" s="9" t="str">
        <x:v>Bank only</x:v>
      </x:c>
      <x:c r="L494" s="9" t="str">
        <x:v>Not clearly business or GST-bearing from the available records.</x:v>
      </x:c>
      <x:c r="M494" s="9" t="str">
        <x:v>nizvxk</x:v>
      </x:c>
    </x:row>
    <x:row r="495" ht="15" hidden="0" customHeight="1">
      <x:c r="A495" s="9" t="str">
        <x:v>Payments basis</x:v>
      </x:c>
      <x:c r="B495" s="9" t="str">
        <x:v>1 Feb-31 Jul 2026</x:v>
      </x:c>
      <x:c r="C495" s="10" t="n">
        <x:v>46127</x:v>
      </x:c>
      <x:c r="D495" s="9" t="str">
        <x:v>Purchase</x:v>
      </x:c>
      <x:c r="E495" s="9" t="str">
        <x:v>BNZ bank (pre-import)</x:v>
      </x:c>
      <x:c r="F495" s="9" t="str">
        <x:v>ONE NZ · 5996 · 432129151028</x:v>
      </x:c>
      <x:c r="G495" s="11" t="n">
        <x:v>188.67</x:v>
      </x:c>
      <x:c r="H495" s="11" t="n">
        <x:v>24.61</x:v>
      </x:c>
      <x:c r="I495" s="9" t="str">
        <x:v>Y</x:v>
      </x:c>
      <x:c r="J495" s="9" t="str">
        <x:v>High</x:v>
      </x:c>
      <x:c r="K495" s="9" t="str">
        <x:v>Bank + TradePilot</x:v>
      </x:c>
      <x:c r="L495" s="9" t="str">
        <x:v>Business purchase.</x:v>
      </x:c>
      <x:c r="M495" s="9" t="str">
        <x:v>s6pf09</x:v>
      </x:c>
    </x:row>
    <x:row r="496" ht="15" hidden="0" customHeight="1">
      <x:c r="A496" s="9" t="str">
        <x:v>Payments basis</x:v>
      </x:c>
      <x:c r="B496" s="9" t="str">
        <x:v>1 Feb-31 Jul 2026</x:v>
      </x:c>
      <x:c r="C496" s="10" t="n">
        <x:v>46127</x:v>
      </x:c>
      <x:c r="D496" s="9" t="str">
        <x:v>Sale</x:v>
      </x:c>
      <x:c r="E496" s="9" t="str">
        <x:v>BNZ bank</x:v>
      </x:c>
      <x:c r="F496" s="9" t="str">
        <x:v>Home &amp; Co · Lakesidepain</x:v>
      </x:c>
      <x:c r="G496" s="11" t="n">
        <x:v>2121.75</x:v>
      </x:c>
      <x:c r="H496" s="11" t="n">
        <x:v>276.75</x:v>
      </x:c>
      <x:c r="I496" s="9" t="str">
        <x:v>Y</x:v>
      </x:c>
      <x:c r="J496" s="9" t="str">
        <x:v>High</x:v>
      </x:c>
      <x:c r="K496" s="9" t="str">
        <x:v>Bank receipt + TradePilot job/income record</x:v>
      </x:c>
      <x:c r="L496" s="9" t="str">
        <x:v>Customer receipt; exact bank amount used.</x:v>
      </x:c>
      <x:c r="M496" s="9" t="str">
        <x:v>88gn4e</x:v>
      </x:c>
    </x:row>
    <x:row r="497" ht="15" hidden="0" customHeight="1">
      <x:c r="A497" s="9" t="str">
        <x:v>Payments basis</x:v>
      </x:c>
      <x:c r="B497" s="9" t="str">
        <x:v>1 Feb-31 Jul 2026</x:v>
      </x:c>
      <x:c r="C497" s="10" t="n">
        <x:v>46128</x:v>
      </x:c>
      <x:c r="D497" s="9" t="str">
        <x:v>Purchase</x:v>
      </x:c>
      <x:c r="E497" s="9" t="str">
        <x:v>BNZ bank (pre-import)</x:v>
      </x:c>
      <x:c r="F497" s="9" t="str">
        <x:v>Savings · INTERNET XFR</x:v>
      </x:c>
      <x:c r="G497" s="11" t="n">
        <x:v>1000</x:v>
      </x:c>
      <x:c r="H497" s="11" t="n">
        <x:v>0</x:v>
      </x:c>
      <x:c r="I497" s="9" t="str">
        <x:v>N</x:v>
      </x:c>
      <x:c r="J497" s="9" t="str">
        <x:v>High</x:v>
      </x:c>
      <x:c r="K497" s="9" t="str">
        <x:v>Bank description</x:v>
      </x:c>
      <x:c r="L497" s="9" t="str">
        <x:v>Personal, transfer, tax, cash withdrawal, food or entertainment; no GST claim.</x:v>
      </x:c>
      <x:c r="M497" s="9" t="str">
        <x:v>ob03kc</x:v>
      </x:c>
    </x:row>
    <x:row r="498" ht="15" hidden="0" customHeight="1">
      <x:c r="A498" s="9" t="str">
        <x:v>Payments basis</x:v>
      </x:c>
      <x:c r="B498" s="9" t="str">
        <x:v>1 Feb-31 Jul 2026</x:v>
      </x:c>
      <x:c r="C498" s="10" t="n">
        <x:v>46128</x:v>
      </x:c>
      <x:c r="D498" s="9" t="str">
        <x:v>Purchase</x:v>
      </x:c>
      <x:c r="E498" s="9" t="str">
        <x:v>BNZ bank (pre-import)</x:v>
      </x:c>
      <x:c r="F498" s="9" t="str">
        <x:v>MITRE 10 MEGA WANAKA · 5996 · 434667161256</x:v>
      </x:c>
      <x:c r="G498" s="11" t="n">
        <x:v>21.99</x:v>
      </x:c>
      <x:c r="H498" s="11" t="n">
        <x:v>2.87</x:v>
      </x:c>
      <x:c r="I498" s="9" t="str">
        <x:v>Y</x:v>
      </x:c>
      <x:c r="J498" s="9" t="str">
        <x:v>High</x:v>
      </x:c>
      <x:c r="K498" s="9" t="str">
        <x:v>Bank + TradePilot</x:v>
      </x:c>
      <x:c r="L498" s="9" t="str">
        <x:v>Business purchase.</x:v>
      </x:c>
      <x:c r="M498" s="9" t="str">
        <x:v>wyefoz</x:v>
      </x:c>
    </x:row>
    <x:row r="499" ht="15" hidden="0" customHeight="1">
      <x:c r="A499" s="9" t="str">
        <x:v>Payments basis</x:v>
      </x:c>
      <x:c r="B499" s="9" t="str">
        <x:v>1 Feb-31 Jul 2026</x:v>
      </x:c>
      <x:c r="C499" s="10" t="n">
        <x:v>46128</x:v>
      </x:c>
      <x:c r="D499" s="9" t="str">
        <x:v>Purchase</x:v>
      </x:c>
      <x:c r="E499" s="9" t="str">
        <x:v>BNZ bank (pre-import)</x:v>
      </x:c>
      <x:c r="F499" s="9" t="str">
        <x:v>AMY BIXBY JEWELLERY · 5996 · 492102161434</x:v>
      </x:c>
      <x:c r="G499" s="11" t="n">
        <x:v>3</x:v>
      </x:c>
      <x:c r="H499" s="11" t="n">
        <x:v>0</x:v>
      </x:c>
      <x:c r="I499" s="9" t="str">
        <x:v>N</x:v>
      </x:c>
      <x:c r="J499" s="9" t="str">
        <x:v>High</x:v>
      </x:c>
      <x:c r="K499" s="9" t="str">
        <x:v>Bank description</x:v>
      </x:c>
      <x:c r="L499" s="9" t="str">
        <x:v>Personal, transfer, tax, cash withdrawal, food or entertainment; no GST claim.</x:v>
      </x:c>
      <x:c r="M499" s="9" t="str">
        <x:v>a0tq30</x:v>
      </x:c>
    </x:row>
    <x:row r="500" ht="15" hidden="0" customHeight="1">
      <x:c r="A500" s="9" t="str">
        <x:v>Payments basis</x:v>
      </x:c>
      <x:c r="B500" s="9" t="str">
        <x:v>1 Feb-31 Jul 2026</x:v>
      </x:c>
      <x:c r="C500" s="10" t="n">
        <x:v>46129</x:v>
      </x:c>
      <x:c r="D500" s="9" t="str">
        <x:v>Purchase</x:v>
      </x:c>
      <x:c r="E500" s="9" t="str">
        <x:v>BNZ bank (pre-import)</x:v>
      </x:c>
      <x:c r="F500" s="9" t="str">
        <x:v>Bradley James Hamilt</x:v>
      </x:c>
      <x:c r="G500" s="11" t="n">
        <x:v>5000</x:v>
      </x:c>
      <x:c r="H500" s="11" t="n">
        <x:v>0</x:v>
      </x:c>
      <x:c r="I500" s="9" t="str">
        <x:v>N</x:v>
      </x:c>
      <x:c r="J500" s="9" t="str">
        <x:v>High</x:v>
      </x:c>
      <x:c r="K500" s="9" t="str">
        <x:v>Bank description</x:v>
      </x:c>
      <x:c r="L500" s="9" t="str">
        <x:v>Personal, transfer, tax, cash withdrawal, food or entertainment; no GST claim.</x:v>
      </x:c>
      <x:c r="M500" s="9" t="str">
        <x:v>71xc1j</x:v>
      </x:c>
    </x:row>
    <x:row r="501" ht="15" hidden="0" customHeight="1">
      <x:c r="A501" s="9" t="str">
        <x:v>Payments basis</x:v>
      </x:c>
      <x:c r="B501" s="9" t="str">
        <x:v>1 Feb-31 Jul 2026</x:v>
      </x:c>
      <x:c r="C501" s="10" t="n">
        <x:v>46130</x:v>
      </x:c>
      <x:c r="D501" s="9" t="str">
        <x:v>Sale</x:v>
      </x:c>
      <x:c r="E501" s="9" t="str">
        <x:v>BNZ + TradePilot match</x:v>
      </x:c>
      <x:c r="F501" s="9" t="str">
        <x:v>VANDERMOLEN A · Q-032 · 32 Malvern R</x:v>
      </x:c>
      <x:c r="G501" s="11" t="n">
        <x:v>1035</x:v>
      </x:c>
      <x:c r="H501" s="11" t="n">
        <x:v>135</x:v>
      </x:c>
      <x:c r="I501" s="9" t="str">
        <x:v>Y</x:v>
      </x:c>
      <x:c r="J501" s="9" t="str">
        <x:v>High</x:v>
      </x:c>
      <x:c r="K501" s="9" t="str">
        <x:v>Bank receipt matched to TradePilot</x:v>
      </x:c>
      <x:c r="L501" s="9" t="str">
        <x:v>Customer receipt; exact bank amount used.</x:v>
      </x:c>
      <x:c r="M501" s="9" t="str">
        <x:v>3eonlk</x:v>
      </x:c>
    </x:row>
    <x:row r="502" ht="15" hidden="0" customHeight="1">
      <x:c r="A502" s="9" t="str">
        <x:v>Payments basis</x:v>
      </x:c>
      <x:c r="B502" s="9" t="str">
        <x:v>1 Feb-31 Jul 2026</x:v>
      </x:c>
      <x:c r="C502" s="10" t="n">
        <x:v>46131</x:v>
      </x:c>
      <x:c r="D502" s="9" t="str">
        <x:v>Purchase</x:v>
      </x:c>
      <x:c r="E502" s="9" t="str">
        <x:v>BNZ + TradePilot match</x:v>
      </x:c>
      <x:c r="F502" s="9" t="str">
        <x:v>BP CONNECT WANAKA</x:v>
      </x:c>
      <x:c r="G502" s="11" t="n">
        <x:v>101.04</x:v>
      </x:c>
      <x:c r="H502" s="11" t="n">
        <x:v>13.18</x:v>
      </x:c>
      <x:c r="I502" s="9" t="str">
        <x:v>Y</x:v>
      </x:c>
      <x:c r="J502" s="9" t="str">
        <x:v>High</x:v>
      </x:c>
      <x:c r="K502" s="9" t="str">
        <x:v>Bank payment matched to GST-coded TradePilot entry</x:v>
      </x:c>
      <x:c r="L502" s="9" t="str">
        <x:v>Matched business purchase.</x:v>
      </x:c>
      <x:c r="M502" s="9" t="str">
        <x:v>hicsvk</x:v>
      </x:c>
    </x:row>
    <x:row r="503" ht="15" hidden="0" customHeight="1">
      <x:c r="A503" s="9" t="str">
        <x:v>Payments basis</x:v>
      </x:c>
      <x:c r="B503" s="9" t="str">
        <x:v>1 Feb-31 Jul 2026</x:v>
      </x:c>
      <x:c r="C503" s="10" t="n">
        <x:v>46133</x:v>
      </x:c>
      <x:c r="D503" s="9" t="str">
        <x:v>Purchase</x:v>
      </x:c>
      <x:c r="E503" s="9" t="str">
        <x:v>BNZ + TradePilot match</x:v>
      </x:c>
      <x:c r="F503" s="9" t="str">
        <x:v>Resene - Wanaka 087</x:v>
      </x:c>
      <x:c r="G503" s="11" t="n">
        <x:v>180.21</x:v>
      </x:c>
      <x:c r="H503" s="11" t="n">
        <x:v>23.51</x:v>
      </x:c>
      <x:c r="I503" s="9" t="str">
        <x:v>Y</x:v>
      </x:c>
      <x:c r="J503" s="9" t="str">
        <x:v>High</x:v>
      </x:c>
      <x:c r="K503" s="9" t="str">
        <x:v>Bank payment matched to GST-coded TradePilot entry</x:v>
      </x:c>
      <x:c r="L503" s="9" t="str">
        <x:v>Matched business purchase.</x:v>
      </x:c>
      <x:c r="M503" s="9" t="str">
        <x:v>sosb4d</x:v>
      </x:c>
    </x:row>
    <x:row r="504" ht="15" hidden="0" customHeight="1">
      <x:c r="A504" s="9" t="str">
        <x:v>Payments basis</x:v>
      </x:c>
      <x:c r="B504" s="9" t="str">
        <x:v>1 Feb-31 Jul 2026</x:v>
      </x:c>
      <x:c r="C504" s="10" t="n">
        <x:v>46133</x:v>
      </x:c>
      <x:c r="D504" s="9" t="str">
        <x:v>Purchase</x:v>
      </x:c>
      <x:c r="E504" s="9" t="str">
        <x:v>BNZ + TradePilot match</x:v>
      </x:c>
      <x:c r="F504" s="9" t="str">
        <x:v>Resene - Wanaka 087</x:v>
      </x:c>
      <x:c r="G504" s="11" t="n">
        <x:v>78.09</x:v>
      </x:c>
      <x:c r="H504" s="11" t="n">
        <x:v>10.19</x:v>
      </x:c>
      <x:c r="I504" s="9" t="str">
        <x:v>Y</x:v>
      </x:c>
      <x:c r="J504" s="9" t="str">
        <x:v>High</x:v>
      </x:c>
      <x:c r="K504" s="9" t="str">
        <x:v>Bank payment matched to GST-coded TradePilot entry</x:v>
      </x:c>
      <x:c r="L504" s="9" t="str">
        <x:v>Matched business purchase.</x:v>
      </x:c>
      <x:c r="M504" s="9" t="str">
        <x:v>azaafi</x:v>
      </x:c>
    </x:row>
    <x:row r="505" ht="15" hidden="0" customHeight="1">
      <x:c r="A505" s="9" t="str">
        <x:v>Payments basis</x:v>
      </x:c>
      <x:c r="B505" s="9" t="str">
        <x:v>1 Feb-31 Jul 2026</x:v>
      </x:c>
      <x:c r="C505" s="10" t="n">
        <x:v>46133</x:v>
      </x:c>
      <x:c r="D505" s="9" t="str">
        <x:v>Purchase</x:v>
      </x:c>
      <x:c r="E505" s="9" t="str">
        <x:v>BNZ + TradePilot match</x:v>
      </x:c>
      <x:c r="F505" s="9" t="str">
        <x:v>MITRE 10 MEGA WANAKA</x:v>
      </x:c>
      <x:c r="G505" s="11" t="n">
        <x:v>26.46</x:v>
      </x:c>
      <x:c r="H505" s="11" t="n">
        <x:v>3.45</x:v>
      </x:c>
      <x:c r="I505" s="9" t="str">
        <x:v>Y</x:v>
      </x:c>
      <x:c r="J505" s="9" t="str">
        <x:v>High</x:v>
      </x:c>
      <x:c r="K505" s="9" t="str">
        <x:v>Bank payment matched to GST-coded TradePilot entry</x:v>
      </x:c>
      <x:c r="L505" s="9" t="str">
        <x:v>Matched business purchase.</x:v>
      </x:c>
      <x:c r="M505" s="9" t="str">
        <x:v>6ekkdj</x:v>
      </x:c>
    </x:row>
    <x:row r="506" ht="15" hidden="0" customHeight="1">
      <x:c r="A506" s="9" t="str">
        <x:v>Payments basis</x:v>
      </x:c>
      <x:c r="B506" s="9" t="str">
        <x:v>1 Feb-31 Jul 2026</x:v>
      </x:c>
      <x:c r="C506" s="10" t="n">
        <x:v>46133</x:v>
      </x:c>
      <x:c r="D506" s="9" t="str">
        <x:v>Purchase</x:v>
      </x:c>
      <x:c r="E506" s="9" t="str">
        <x:v>BNZ supplier refund</x:v>
      </x:c>
      <x:c r="F506" s="9" t="str">
        <x:v>Resene - Wanaka 087</x:v>
      </x:c>
      <x:c r="G506" s="11" t="n">
        <x:v>-78.09</x:v>
      </x:c>
      <x:c r="H506" s="11" t="n">
        <x:v>-10.19</x:v>
      </x:c>
      <x:c r="I506" s="9" t="str">
        <x:v>Y</x:v>
      </x:c>
      <x:c r="J506" s="9" t="str">
        <x:v>High</x:v>
      </x:c>
      <x:c r="K506" s="9" t="str">
        <x:v>Bank refund + TradePilot GST coding</x:v>
      </x:c>
      <x:c r="L506" s="9" t="str">
        <x:v>Supplier refund reduces input GST; it is not sales income.</x:v>
      </x:c>
      <x:c r="M506" s="9" t="str">
        <x:v>d5m42u</x:v>
      </x:c>
    </x:row>
    <x:row r="507" ht="15" hidden="0" customHeight="1">
      <x:c r="A507" s="9" t="str">
        <x:v>Payments basis</x:v>
      </x:c>
      <x:c r="B507" s="9" t="str">
        <x:v>1 Feb-31 Jul 2026</x:v>
      </x:c>
      <x:c r="C507" s="10" t="n">
        <x:v>46135</x:v>
      </x:c>
      <x:c r="D507" s="9" t="str">
        <x:v>Purchase</x:v>
      </x:c>
      <x:c r="E507" s="9" t="str">
        <x:v>BNZ + TradePilot match</x:v>
      </x:c>
      <x:c r="F507" s="9" t="str">
        <x:v>THE WAREHOUSE 212 WA</x:v>
      </x:c>
      <x:c r="G507" s="11" t="n">
        <x:v>61.2</x:v>
      </x:c>
      <x:c r="H507" s="11" t="n">
        <x:v>7.98</x:v>
      </x:c>
      <x:c r="I507" s="9" t="str">
        <x:v>Y</x:v>
      </x:c>
      <x:c r="J507" s="9" t="str">
        <x:v>High</x:v>
      </x:c>
      <x:c r="K507" s="9" t="str">
        <x:v>Bank payment matched to GST-coded TradePilot entry</x:v>
      </x:c>
      <x:c r="L507" s="9" t="str">
        <x:v>Matched business purchase.</x:v>
      </x:c>
      <x:c r="M507" s="9" t="str">
        <x:v>sp5lu6</x:v>
      </x:c>
    </x:row>
    <x:row r="508" ht="15" hidden="0" customHeight="1">
      <x:c r="A508" s="9" t="str">
        <x:v>Payments basis</x:v>
      </x:c>
      <x:c r="B508" s="9" t="str">
        <x:v>1 Feb-31 Jul 2026</x:v>
      </x:c>
      <x:c r="C508" s="10" t="n">
        <x:v>46137</x:v>
      </x:c>
      <x:c r="D508" s="9" t="str">
        <x:v>Purchase</x:v>
      </x:c>
      <x:c r="E508" s="9" t="str">
        <x:v>BNZ + TradePilot match</x:v>
      </x:c>
      <x:c r="F508" s="9" t="str">
        <x:v>CURSOR USAGE MID  AP</x:v>
      </x:c>
      <x:c r="G508" s="11" t="n">
        <x:v>41.25</x:v>
      </x:c>
      <x:c r="H508" s="11" t="n">
        <x:v>5.38</x:v>
      </x:c>
      <x:c r="I508" s="9" t="str">
        <x:v>Y</x:v>
      </x:c>
      <x:c r="J508" s="9" t="str">
        <x:v>High</x:v>
      </x:c>
      <x:c r="K508" s="9" t="str">
        <x:v>Bank payment matched to GST-coded TradePilot entry</x:v>
      </x:c>
      <x:c r="L508" s="9" t="str">
        <x:v>Matched business purchase.</x:v>
      </x:c>
      <x:c r="M508" s="9" t="str">
        <x:v>3tecam</x:v>
      </x:c>
    </x:row>
    <x:row r="509" ht="15" hidden="0" customHeight="1">
      <x:c r="A509" s="9" t="str">
        <x:v>Payments basis</x:v>
      </x:c>
      <x:c r="B509" s="9" t="str">
        <x:v>1 Feb-31 Jul 2026</x:v>
      </x:c>
      <x:c r="C509" s="10" t="n">
        <x:v>46138</x:v>
      </x:c>
      <x:c r="D509" s="9" t="str">
        <x:v>Purchase</x:v>
      </x:c>
      <x:c r="E509" s="9" t="str">
        <x:v>BNZ + TradePilot match</x:v>
      </x:c>
      <x:c r="F509" s="9" t="str">
        <x:v>MITRE 10 MEGA WANAKA</x:v>
      </x:c>
      <x:c r="G509" s="11" t="n">
        <x:v>153.45</x:v>
      </x:c>
      <x:c r="H509" s="11" t="n">
        <x:v>20.02</x:v>
      </x:c>
      <x:c r="I509" s="9" t="str">
        <x:v>Y</x:v>
      </x:c>
      <x:c r="J509" s="9" t="str">
        <x:v>High</x:v>
      </x:c>
      <x:c r="K509" s="9" t="str">
        <x:v>Bank payment matched to GST-coded TradePilot entry</x:v>
      </x:c>
      <x:c r="L509" s="9" t="str">
        <x:v>Matched business purchase.</x:v>
      </x:c>
      <x:c r="M509" s="9" t="str">
        <x:v>ohhwjf</x:v>
      </x:c>
    </x:row>
    <x:row r="510" ht="15" hidden="0" customHeight="1">
      <x:c r="A510" s="9" t="str">
        <x:v>Payments basis</x:v>
      </x:c>
      <x:c r="B510" s="9" t="str">
        <x:v>1 Feb-31 Jul 2026</x:v>
      </x:c>
      <x:c r="C510" s="10" t="n">
        <x:v>46138</x:v>
      </x:c>
      <x:c r="D510" s="9" t="str">
        <x:v>Purchase</x:v>
      </x:c>
      <x:c r="E510" s="9" t="str">
        <x:v>BNZ + TradePilot match</x:v>
      </x:c>
      <x:c r="F510" s="9" t="str">
        <x:v>BP CONNECT WANAKA</x:v>
      </x:c>
      <x:c r="G510" s="11" t="n">
        <x:v>112.06</x:v>
      </x:c>
      <x:c r="H510" s="11" t="n">
        <x:v>14.62</x:v>
      </x:c>
      <x:c r="I510" s="9" t="str">
        <x:v>Y</x:v>
      </x:c>
      <x:c r="J510" s="9" t="str">
        <x:v>High</x:v>
      </x:c>
      <x:c r="K510" s="9" t="str">
        <x:v>Bank payment matched to GST-coded TradePilot entry</x:v>
      </x:c>
      <x:c r="L510" s="9" t="str">
        <x:v>Matched business purchase.</x:v>
      </x:c>
      <x:c r="M510" s="9" t="str">
        <x:v>pb4shc</x:v>
      </x:c>
    </x:row>
    <x:row r="511" ht="15" hidden="0" customHeight="1">
      <x:c r="A511" s="9" t="str">
        <x:v>Payments basis</x:v>
      </x:c>
      <x:c r="B511" s="9" t="str">
        <x:v>1 Feb-31 Jul 2026</x:v>
      </x:c>
      <x:c r="C511" s="10" t="n">
        <x:v>46139</x:v>
      </x:c>
      <x:c r="D511" s="9" t="str">
        <x:v>Purchase</x:v>
      </x:c>
      <x:c r="E511" s="9" t="str">
        <x:v>BNZ + TradePilot match</x:v>
      </x:c>
      <x:c r="F511" s="9" t="str">
        <x:v>MITRE 10 MEGA WANAKA</x:v>
      </x:c>
      <x:c r="G511" s="11" t="n">
        <x:v>79.9</x:v>
      </x:c>
      <x:c r="H511" s="11" t="n">
        <x:v>10.42</x:v>
      </x:c>
      <x:c r="I511" s="9" t="str">
        <x:v>Y</x:v>
      </x:c>
      <x:c r="J511" s="9" t="str">
        <x:v>High</x:v>
      </x:c>
      <x:c r="K511" s="9" t="str">
        <x:v>Bank payment matched to GST-coded TradePilot entry</x:v>
      </x:c>
      <x:c r="L511" s="9" t="str">
        <x:v>Matched business purchase.</x:v>
      </x:c>
      <x:c r="M511" s="9" t="str">
        <x:v>bi9f0b</x:v>
      </x:c>
    </x:row>
    <x:row r="512" ht="15" hidden="0" customHeight="1">
      <x:c r="A512" s="9" t="str">
        <x:v>Payments basis</x:v>
      </x:c>
      <x:c r="B512" s="9" t="str">
        <x:v>1 Feb-31 Jul 2026</x:v>
      </x:c>
      <x:c r="C512" s="10" t="n">
        <x:v>46140</x:v>
      </x:c>
      <x:c r="D512" s="9" t="str">
        <x:v>Sale</x:v>
      </x:c>
      <x:c r="E512" s="9" t="str">
        <x:v>BNZ + TradePilot match</x:v>
      </x:c>
      <x:c r="F512" s="9" t="str">
        <x:v>GRAY RICHARD · Inv Aub Gray · Inv Aub</x:v>
      </x:c>
      <x:c r="G512" s="11" t="n">
        <x:v>5140.5</x:v>
      </x:c>
      <x:c r="H512" s="11" t="n">
        <x:v>670.5</x:v>
      </x:c>
      <x:c r="I512" s="9" t="str">
        <x:v>Y</x:v>
      </x:c>
      <x:c r="J512" s="9" t="str">
        <x:v>High</x:v>
      </x:c>
      <x:c r="K512" s="9" t="str">
        <x:v>Bank receipt matched to TradePilot</x:v>
      </x:c>
      <x:c r="L512" s="9" t="str">
        <x:v>Customer receipt; exact bank amount used.</x:v>
      </x:c>
      <x:c r="M512" s="9" t="str">
        <x:v>35udu7</x:v>
      </x:c>
    </x:row>
    <x:row r="513" ht="15" hidden="0" customHeight="1">
      <x:c r="A513" s="9" t="str">
        <x:v>Payments basis</x:v>
      </x:c>
      <x:c r="B513" s="9" t="str">
        <x:v>1 Feb-31 Jul 2026</x:v>
      </x:c>
      <x:c r="C513" s="10" t="n">
        <x:v>46141</x:v>
      </x:c>
      <x:c r="D513" s="9" t="str">
        <x:v>Sale</x:v>
      </x:c>
      <x:c r="E513" s="9" t="str">
        <x:v>BNZ + TradePilot match</x:v>
      </x:c>
      <x:c r="F513" s="9" t="str">
        <x:v>NICHOLSON  TD &amp; · 4 perrow st · deposit</x:v>
      </x:c>
      <x:c r="G513" s="11" t="n">
        <x:v>1190.25</x:v>
      </x:c>
      <x:c r="H513" s="11" t="n">
        <x:v>155.25</x:v>
      </x:c>
      <x:c r="I513" s="9" t="str">
        <x:v>Y</x:v>
      </x:c>
      <x:c r="J513" s="9" t="str">
        <x:v>High</x:v>
      </x:c>
      <x:c r="K513" s="9" t="str">
        <x:v>Bank receipt matched to TradePilot</x:v>
      </x:c>
      <x:c r="L513" s="9" t="str">
        <x:v>Customer receipt; exact bank amount used.</x:v>
      </x:c>
      <x:c r="M513" s="9" t="str">
        <x:v>pgyhqd</x:v>
      </x:c>
    </x:row>
    <x:row r="514" ht="15" hidden="0" customHeight="1">
      <x:c r="A514" s="9" t="str">
        <x:v>Payments basis</x:v>
      </x:c>
      <x:c r="B514" s="9" t="str">
        <x:v>1 Feb-31 Jul 2026</x:v>
      </x:c>
      <x:c r="C514" s="10" t="n">
        <x:v>46142</x:v>
      </x:c>
      <x:c r="D514" s="9" t="str">
        <x:v>Purchase</x:v>
      </x:c>
      <x:c r="E514" s="9" t="str">
        <x:v>BNZ + TradePilot match</x:v>
      </x:c>
      <x:c r="F514" s="9" t="str">
        <x:v>CLAUDE.AI SUBSCRIPTI</x:v>
      </x:c>
      <x:c r="G514" s="11" t="n">
        <x:v>171.74</x:v>
      </x:c>
      <x:c r="H514" s="11" t="n">
        <x:v>22.4</x:v>
      </x:c>
      <x:c r="I514" s="9" t="str">
        <x:v>Y</x:v>
      </x:c>
      <x:c r="J514" s="9" t="str">
        <x:v>High</x:v>
      </x:c>
      <x:c r="K514" s="9" t="str">
        <x:v>Bank payment matched to GST-coded TradePilot entry</x:v>
      </x:c>
      <x:c r="L514" s="9" t="str">
        <x:v>Matched business purchase.</x:v>
      </x:c>
      <x:c r="M514" s="9" t="str">
        <x:v>jyo2m7</x:v>
      </x:c>
    </x:row>
    <x:row r="515" ht="15" hidden="0" customHeight="1">
      <x:c r="A515" s="9" t="str">
        <x:v>Payments basis</x:v>
      </x:c>
      <x:c r="B515" s="9" t="str">
        <x:v>1 Feb-31 Jul 2026</x:v>
      </x:c>
      <x:c r="C515" s="10" t="n">
        <x:v>46143</x:v>
      </x:c>
      <x:c r="D515" s="9" t="str">
        <x:v>Sale</x:v>
      </x:c>
      <x:c r="E515" s="9" t="str">
        <x:v>BNZ + TradePilot match</x:v>
      </x:c>
      <x:c r="F515" s="9" t="str">
        <x:v>Home &amp; Co · Lakesidepain</x:v>
      </x:c>
      <x:c r="G515" s="11" t="n">
        <x:v>8136.25</x:v>
      </x:c>
      <x:c r="H515" s="11" t="n">
        <x:v>1061.25</x:v>
      </x:c>
      <x:c r="I515" s="9" t="str">
        <x:v>Y</x:v>
      </x:c>
      <x:c r="J515" s="9" t="str">
        <x:v>High</x:v>
      </x:c>
      <x:c r="K515" s="9" t="str">
        <x:v>Bank receipt matched to TradePilot</x:v>
      </x:c>
      <x:c r="L515" s="9" t="str">
        <x:v>Customer receipt; exact bank amount used.</x:v>
      </x:c>
      <x:c r="M515" s="9" t="str">
        <x:v>63g5m7</x:v>
      </x:c>
    </x:row>
    <x:row r="516" ht="15" hidden="0" customHeight="1">
      <x:c r="A516" s="9" t="str">
        <x:v>Payments basis</x:v>
      </x:c>
      <x:c r="B516" s="9" t="str">
        <x:v>1 Feb-31 Jul 2026</x:v>
      </x:c>
      <x:c r="C516" s="10" t="n">
        <x:v>46144</x:v>
      </x:c>
      <x:c r="D516" s="9" t="str">
        <x:v>Purchase</x:v>
      </x:c>
      <x:c r="E516" s="9" t="str">
        <x:v>BNZ + TradePilot match</x:v>
      </x:c>
      <x:c r="F516" s="9" t="str">
        <x:v>CURSOR  AI POWERED I</x:v>
      </x:c>
      <x:c r="G516" s="11" t="n">
        <x:v>34.81</x:v>
      </x:c>
      <x:c r="H516" s="11" t="n">
        <x:v>4.54</x:v>
      </x:c>
      <x:c r="I516" s="9" t="str">
        <x:v>Y</x:v>
      </x:c>
      <x:c r="J516" s="9" t="str">
        <x:v>High</x:v>
      </x:c>
      <x:c r="K516" s="9" t="str">
        <x:v>Bank payment matched to GST-coded TradePilot entry</x:v>
      </x:c>
      <x:c r="L516" s="9" t="str">
        <x:v>Matched business purchase.</x:v>
      </x:c>
      <x:c r="M516" s="9" t="str">
        <x:v>n2fwhk</x:v>
      </x:c>
    </x:row>
    <x:row r="517" ht="15" hidden="0" customHeight="1">
      <x:c r="A517" s="9" t="str">
        <x:v>Payments basis</x:v>
      </x:c>
      <x:c r="B517" s="9" t="str">
        <x:v>1 Feb-31 Jul 2026</x:v>
      </x:c>
      <x:c r="C517" s="10" t="n">
        <x:v>46144</x:v>
      </x:c>
      <x:c r="D517" s="9" t="str">
        <x:v>Purchase</x:v>
      </x:c>
      <x:c r="E517" s="9" t="str">
        <x:v>BNZ + TradePilot match</x:v>
      </x:c>
      <x:c r="F517" s="9" t="str">
        <x:v>BP CONNECT WANAKA</x:v>
      </x:c>
      <x:c r="G517" s="11" t="n">
        <x:v>119.82</x:v>
      </x:c>
      <x:c r="H517" s="11" t="n">
        <x:v>15.63</x:v>
      </x:c>
      <x:c r="I517" s="9" t="str">
        <x:v>Y</x:v>
      </x:c>
      <x:c r="J517" s="9" t="str">
        <x:v>High</x:v>
      </x:c>
      <x:c r="K517" s="9" t="str">
        <x:v>Bank payment matched to GST-coded TradePilot entry</x:v>
      </x:c>
      <x:c r="L517" s="9" t="str">
        <x:v>Matched business purchase.</x:v>
      </x:c>
      <x:c r="M517" s="9" t="str">
        <x:v>514qks</x:v>
      </x:c>
    </x:row>
    <x:row r="518" ht="15" hidden="0" customHeight="1">
      <x:c r="A518" s="9" t="str">
        <x:v>Payments basis</x:v>
      </x:c>
      <x:c r="B518" s="9" t="str">
        <x:v>1 Feb-31 Jul 2026</x:v>
      </x:c>
      <x:c r="C518" s="10" t="n">
        <x:v>46144</x:v>
      </x:c>
      <x:c r="D518" s="9" t="str">
        <x:v>Purchase</x:v>
      </x:c>
      <x:c r="E518" s="9" t="str">
        <x:v>BNZ + TradePilot match</x:v>
      </x:c>
      <x:c r="F518" s="9" t="str">
        <x:v>Google Workspace_lak</x:v>
      </x:c>
      <x:c r="G518" s="11" t="n">
        <x:v>18.11</x:v>
      </x:c>
      <x:c r="H518" s="11" t="n">
        <x:v>2.36</x:v>
      </x:c>
      <x:c r="I518" s="9" t="str">
        <x:v>Y</x:v>
      </x:c>
      <x:c r="J518" s="9" t="str">
        <x:v>High</x:v>
      </x:c>
      <x:c r="K518" s="9" t="str">
        <x:v>Bank payment matched to GST-coded TradePilot entry</x:v>
      </x:c>
      <x:c r="L518" s="9" t="str">
        <x:v>Matched business purchase.</x:v>
      </x:c>
      <x:c r="M518" s="9" t="str">
        <x:v>3yun2e</x:v>
      </x:c>
    </x:row>
    <x:row r="519" ht="15" hidden="0" customHeight="1">
      <x:c r="A519" s="9" t="str">
        <x:v>Payments basis</x:v>
      </x:c>
      <x:c r="B519" s="9" t="str">
        <x:v>1 Feb-31 Jul 2026</x:v>
      </x:c>
      <x:c r="C519" s="10" t="n">
        <x:v>46146</x:v>
      </x:c>
      <x:c r="D519" s="9" t="str">
        <x:v>Purchase</x:v>
      </x:c>
      <x:c r="E519" s="9" t="str">
        <x:v>BNZ + TradePilot match</x:v>
      </x:c>
      <x:c r="F519" s="9" t="str">
        <x:v>785Pin* Hireworx New</x:v>
      </x:c>
      <x:c r="G519" s="11" t="n">
        <x:v>170.08</x:v>
      </x:c>
      <x:c r="H519" s="11" t="n">
        <x:v>22.18</x:v>
      </x:c>
      <x:c r="I519" s="9" t="str">
        <x:v>Y</x:v>
      </x:c>
      <x:c r="J519" s="9" t="str">
        <x:v>High</x:v>
      </x:c>
      <x:c r="K519" s="9" t="str">
        <x:v>Bank payment matched to GST-coded TradePilot entry</x:v>
      </x:c>
      <x:c r="L519" s="9" t="str">
        <x:v>Matched business purchase.</x:v>
      </x:c>
      <x:c r="M519" s="9" t="str">
        <x:v>tkfdzz</x:v>
      </x:c>
    </x:row>
    <x:row r="520" ht="15" hidden="0" customHeight="1">
      <x:c r="A520" s="9" t="str">
        <x:v>Payments basis</x:v>
      </x:c>
      <x:c r="B520" s="9" t="str">
        <x:v>1 Feb-31 Jul 2026</x:v>
      </x:c>
      <x:c r="C520" s="10" t="n">
        <x:v>46146</x:v>
      </x:c>
      <x:c r="D520" s="9" t="str">
        <x:v>Purchase</x:v>
      </x:c>
      <x:c r="E520" s="9" t="str">
        <x:v>BNZ + TradePilot match</x:v>
      </x:c>
      <x:c r="F520" s="9" t="str">
        <x:v>CURSOR USAGE  APR</x:v>
      </x:c>
      <x:c r="G520" s="11" t="n">
        <x:v>28.58</x:v>
      </x:c>
      <x:c r="H520" s="11" t="n">
        <x:v>3.73</x:v>
      </x:c>
      <x:c r="I520" s="9" t="str">
        <x:v>Y</x:v>
      </x:c>
      <x:c r="J520" s="9" t="str">
        <x:v>High</x:v>
      </x:c>
      <x:c r="K520" s="9" t="str">
        <x:v>Bank payment matched to GST-coded TradePilot entry</x:v>
      </x:c>
      <x:c r="L520" s="9" t="str">
        <x:v>Matched business purchase.</x:v>
      </x:c>
      <x:c r="M520" s="9" t="str">
        <x:v>csyvsv</x:v>
      </x:c>
    </x:row>
    <x:row r="521" ht="15" hidden="0" customHeight="1">
      <x:c r="A521" s="9" t="str">
        <x:v>Payments basis</x:v>
      </x:c>
      <x:c r="B521" s="9" t="str">
        <x:v>1 Feb-31 Jul 2026</x:v>
      </x:c>
      <x:c r="C521" s="10" t="n">
        <x:v>46148</x:v>
      </x:c>
      <x:c r="D521" s="9" t="str">
        <x:v>Sale</x:v>
      </x:c>
      <x:c r="E521" s="9" t="str">
        <x:v>BNZ + TradePilot match</x:v>
      </x:c>
      <x:c r="F521" s="9" t="str">
        <x:v>CHIRNSIDE C T · InvCC-001</x:v>
      </x:c>
      <x:c r="G521" s="11" t="n">
        <x:v>483</x:v>
      </x:c>
      <x:c r="H521" s="11" t="n">
        <x:v>63</x:v>
      </x:c>
      <x:c r="I521" s="9" t="str">
        <x:v>Y</x:v>
      </x:c>
      <x:c r="J521" s="9" t="str">
        <x:v>High</x:v>
      </x:c>
      <x:c r="K521" s="9" t="str">
        <x:v>Bank receipt matched to TradePilot</x:v>
      </x:c>
      <x:c r="L521" s="9" t="str">
        <x:v>Customer receipt; exact bank amount used.</x:v>
      </x:c>
      <x:c r="M521" s="9" t="str">
        <x:v>glbl5e</x:v>
      </x:c>
    </x:row>
    <x:row r="522" ht="15" hidden="0" customHeight="1">
      <x:c r="A522" s="9" t="str">
        <x:v>Payments basis</x:v>
      </x:c>
      <x:c r="B522" s="9" t="str">
        <x:v>1 Feb-31 Jul 2026</x:v>
      </x:c>
      <x:c r="C522" s="10" t="n">
        <x:v>46149</x:v>
      </x:c>
      <x:c r="D522" s="9" t="str">
        <x:v>Purchase</x:v>
      </x:c>
      <x:c r="E522" s="9" t="str">
        <x:v>BNZ + TradePilot match</x:v>
      </x:c>
      <x:c r="F522" s="9" t="str">
        <x:v>OPENAI *CHATGPT SUBS</x:v>
      </x:c>
      <x:c r="G522" s="11" t="n">
        <x:v>40.08</x:v>
      </x:c>
      <x:c r="H522" s="11" t="n">
        <x:v>5.23</x:v>
      </x:c>
      <x:c r="I522" s="9" t="str">
        <x:v>Y</x:v>
      </x:c>
      <x:c r="J522" s="9" t="str">
        <x:v>High</x:v>
      </x:c>
      <x:c r="K522" s="9" t="str">
        <x:v>Bank payment matched to GST-coded TradePilot entry</x:v>
      </x:c>
      <x:c r="L522" s="9" t="str">
        <x:v>Matched business purchase.</x:v>
      </x:c>
      <x:c r="M522" s="9" t="str">
        <x:v>63syn2</x:v>
      </x:c>
    </x:row>
    <x:row r="523" ht="15" hidden="0" customHeight="1">
      <x:c r="A523" s="9" t="str">
        <x:v>Payments basis</x:v>
      </x:c>
      <x:c r="B523" s="9" t="str">
        <x:v>1 Feb-31 Jul 2026</x:v>
      </x:c>
      <x:c r="C523" s="10" t="n">
        <x:v>46149</x:v>
      </x:c>
      <x:c r="D523" s="9" t="str">
        <x:v>Purchase</x:v>
      </x:c>
      <x:c r="E523" s="9" t="str">
        <x:v>BNZ + TradePilot match</x:v>
      </x:c>
      <x:c r="F523" s="9" t="str">
        <x:v>BP CONNECT WANAKA</x:v>
      </x:c>
      <x:c r="G523" s="11" t="n">
        <x:v>100.85</x:v>
      </x:c>
      <x:c r="H523" s="11" t="n">
        <x:v>13.15</x:v>
      </x:c>
      <x:c r="I523" s="9" t="str">
        <x:v>Y</x:v>
      </x:c>
      <x:c r="J523" s="9" t="str">
        <x:v>High</x:v>
      </x:c>
      <x:c r="K523" s="9" t="str">
        <x:v>Bank payment matched to GST-coded TradePilot entry</x:v>
      </x:c>
      <x:c r="L523" s="9" t="str">
        <x:v>Matched business purchase.</x:v>
      </x:c>
      <x:c r="M523" s="9" t="str">
        <x:v>v7i9ov</x:v>
      </x:c>
    </x:row>
    <x:row r="524" ht="15" hidden="0" customHeight="1">
      <x:c r="A524" s="9" t="str">
        <x:v>Payments basis</x:v>
      </x:c>
      <x:c r="B524" s="9" t="str">
        <x:v>1 Feb-31 Jul 2026</x:v>
      </x:c>
      <x:c r="C524" s="10" t="n">
        <x:v>46150</x:v>
      </x:c>
      <x:c r="D524" s="9" t="str">
        <x:v>Purchase</x:v>
      </x:c>
      <x:c r="E524" s="9" t="str">
        <x:v>BNZ + TradePilot match</x:v>
      </x:c>
      <x:c r="F524" s="9" t="str">
        <x:v>Resene - Wanaka 087</x:v>
      </x:c>
      <x:c r="G524" s="11" t="n">
        <x:v>208.85</x:v>
      </x:c>
      <x:c r="H524" s="11" t="n">
        <x:v>27.24</x:v>
      </x:c>
      <x:c r="I524" s="9" t="str">
        <x:v>Y</x:v>
      </x:c>
      <x:c r="J524" s="9" t="str">
        <x:v>High</x:v>
      </x:c>
      <x:c r="K524" s="9" t="str">
        <x:v>Bank payment matched to GST-coded TradePilot entry</x:v>
      </x:c>
      <x:c r="L524" s="9" t="str">
        <x:v>Matched business purchase.</x:v>
      </x:c>
      <x:c r="M524" s="9" t="str">
        <x:v>f7r1is</x:v>
      </x:c>
    </x:row>
    <x:row r="525" ht="15" hidden="0" customHeight="1">
      <x:c r="A525" s="9" t="str">
        <x:v>Payments basis</x:v>
      </x:c>
      <x:c r="B525" s="9" t="str">
        <x:v>1 Feb-31 Jul 2026</x:v>
      </x:c>
      <x:c r="C525" s="10" t="n">
        <x:v>46150</x:v>
      </x:c>
      <x:c r="D525" s="9" t="str">
        <x:v>Sale</x:v>
      </x:c>
      <x:c r="E525" s="9" t="str">
        <x:v>BNZ + TradePilot match</x:v>
      </x:c>
      <x:c r="F525" s="9" t="str">
        <x:v>VANDERMOLEN A · Maplesden · INV. Q032</x:v>
      </x:c>
      <x:c r="G525" s="11" t="n">
        <x:v>1493.85</x:v>
      </x:c>
      <x:c r="H525" s="11" t="n">
        <x:v>194.85</x:v>
      </x:c>
      <x:c r="I525" s="9" t="str">
        <x:v>Y</x:v>
      </x:c>
      <x:c r="J525" s="9" t="str">
        <x:v>High</x:v>
      </x:c>
      <x:c r="K525" s="9" t="str">
        <x:v>Bank receipt matched to TradePilot</x:v>
      </x:c>
      <x:c r="L525" s="9" t="str">
        <x:v>Customer receipt; exact bank amount used.</x:v>
      </x:c>
      <x:c r="M525" s="9" t="str">
        <x:v>h6h77c</x:v>
      </x:c>
    </x:row>
    <x:row r="526" ht="15" hidden="0" customHeight="1">
      <x:c r="A526" s="9" t="str">
        <x:v>Payments basis</x:v>
      </x:c>
      <x:c r="B526" s="9" t="str">
        <x:v>1 Feb-31 Jul 2026</x:v>
      </x:c>
      <x:c r="C526" s="10" t="n">
        <x:v>46151</x:v>
      </x:c>
      <x:c r="D526" s="9" t="str">
        <x:v>Purchase</x:v>
      </x:c>
      <x:c r="E526" s="9" t="str">
        <x:v>BNZ + TradePilot match</x:v>
      </x:c>
      <x:c r="F526" s="9" t="str">
        <x:v>MIN BUS INNOVATION &amp;</x:v>
      </x:c>
      <x:c r="G526" s="11" t="n">
        <x:v>11.5</x:v>
      </x:c>
      <x:c r="H526" s="11" t="n">
        <x:v>1.5</x:v>
      </x:c>
      <x:c r="I526" s="9" t="str">
        <x:v>Y</x:v>
      </x:c>
      <x:c r="J526" s="9" t="str">
        <x:v>High</x:v>
      </x:c>
      <x:c r="K526" s="9" t="str">
        <x:v>Bank payment matched to GST-coded TradePilot entry</x:v>
      </x:c>
      <x:c r="L526" s="9" t="str">
        <x:v>Matched business purchase.</x:v>
      </x:c>
      <x:c r="M526" s="9" t="str">
        <x:v>xpv568</x:v>
      </x:c>
    </x:row>
    <x:row r="527" ht="15" hidden="0" customHeight="1">
      <x:c r="A527" s="9" t="str">
        <x:v>Payments basis</x:v>
      </x:c>
      <x:c r="B527" s="9" t="str">
        <x:v>1 Feb-31 Jul 2026</x:v>
      </x:c>
      <x:c r="C527" s="10" t="n">
        <x:v>46152</x:v>
      </x:c>
      <x:c r="D527" s="9" t="str">
        <x:v>Purchase</x:v>
      </x:c>
      <x:c r="E527" s="9" t="str">
        <x:v>BNZ + TradePilot match</x:v>
      </x:c>
      <x:c r="F527" s="9" t="str">
        <x:v>THE MEAT PREACHERS</x:v>
      </x:c>
      <x:c r="G527" s="11" t="n">
        <x:v>62.22</x:v>
      </x:c>
      <x:c r="H527" s="11" t="n">
        <x:v>8.12</x:v>
      </x:c>
      <x:c r="I527" s="9" t="str">
        <x:v>Y</x:v>
      </x:c>
      <x:c r="J527" s="9" t="str">
        <x:v>High</x:v>
      </x:c>
      <x:c r="K527" s="9" t="str">
        <x:v>Bank payment matched to GST-coded TradePilot entry</x:v>
      </x:c>
      <x:c r="L527" s="9" t="str">
        <x:v>Matched business purchase.</x:v>
      </x:c>
      <x:c r="M527" s="9" t="str">
        <x:v>h3chg6</x:v>
      </x:c>
    </x:row>
    <x:row r="528" ht="15" hidden="0" customHeight="1">
      <x:c r="A528" s="9" t="str">
        <x:v>Payments basis</x:v>
      </x:c>
      <x:c r="B528" s="9" t="str">
        <x:v>1 Feb-31 Jul 2026</x:v>
      </x:c>
      <x:c r="C528" s="10" t="n">
        <x:v>46152</x:v>
      </x:c>
      <x:c r="D528" s="9" t="str">
        <x:v>Purchase</x:v>
      </x:c>
      <x:c r="E528" s="9" t="str">
        <x:v>BNZ + TradePilot match</x:v>
      </x:c>
      <x:c r="F528" s="9" t="str">
        <x:v>BP CONNECT WANAKA</x:v>
      </x:c>
      <x:c r="G528" s="11" t="n">
        <x:v>100.29</x:v>
      </x:c>
      <x:c r="H528" s="11" t="n">
        <x:v>13.08</x:v>
      </x:c>
      <x:c r="I528" s="9" t="str">
        <x:v>Y</x:v>
      </x:c>
      <x:c r="J528" s="9" t="str">
        <x:v>High</x:v>
      </x:c>
      <x:c r="K528" s="9" t="str">
        <x:v>Bank payment matched to GST-coded TradePilot entry</x:v>
      </x:c>
      <x:c r="L528" s="9" t="str">
        <x:v>Matched business purchase.</x:v>
      </x:c>
      <x:c r="M528" s="9" t="str">
        <x:v>8t56yq</x:v>
      </x:c>
    </x:row>
    <x:row r="529" ht="15" hidden="0" customHeight="1">
      <x:c r="A529" s="9" t="str">
        <x:v>Payments basis</x:v>
      </x:c>
      <x:c r="B529" s="9" t="str">
        <x:v>1 Feb-31 Jul 2026</x:v>
      </x:c>
      <x:c r="C529" s="10" t="n">
        <x:v>46154</x:v>
      </x:c>
      <x:c r="D529" s="9" t="str">
        <x:v>Sale</x:v>
      </x:c>
      <x:c r="E529" s="9" t="str">
        <x:v>BNZ + TradePilot match</x:v>
      </x:c>
      <x:c r="F529" s="9" t="str">
        <x:v>UCL COMMERCIAL · PH Wanaka · UCL COMM</x:v>
      </x:c>
      <x:c r="G529" s="11" t="n">
        <x:v>2942.85</x:v>
      </x:c>
      <x:c r="H529" s="11" t="n">
        <x:v>383.85</x:v>
      </x:c>
      <x:c r="I529" s="9" t="str">
        <x:v>Y</x:v>
      </x:c>
      <x:c r="J529" s="9" t="str">
        <x:v>High</x:v>
      </x:c>
      <x:c r="K529" s="9" t="str">
        <x:v>Bank receipt matched to TradePilot</x:v>
      </x:c>
      <x:c r="L529" s="9" t="str">
        <x:v>Customer receipt; exact bank amount used.</x:v>
      </x:c>
      <x:c r="M529" s="9" t="str">
        <x:v>kzb74o</x:v>
      </x:c>
    </x:row>
    <x:row r="530" ht="15" hidden="0" customHeight="1">
      <x:c r="A530" s="9" t="str">
        <x:v>Payments basis</x:v>
      </x:c>
      <x:c r="B530" s="9" t="str">
        <x:v>1 Feb-31 Jul 2026</x:v>
      </x:c>
      <x:c r="C530" s="10" t="n">
        <x:v>46156</x:v>
      </x:c>
      <x:c r="D530" s="9" t="str">
        <x:v>Purchase</x:v>
      </x:c>
      <x:c r="E530" s="9" t="str">
        <x:v>BNZ + TradePilot match</x:v>
      </x:c>
      <x:c r="F530" s="9" t="str">
        <x:v>ANTHROPIC</x:v>
      </x:c>
      <x:c r="G530" s="11" t="n">
        <x:v>9.94</x:v>
      </x:c>
      <x:c r="H530" s="11" t="n">
        <x:v>1.3</x:v>
      </x:c>
      <x:c r="I530" s="9" t="str">
        <x:v>Y</x:v>
      </x:c>
      <x:c r="J530" s="9" t="str">
        <x:v>High</x:v>
      </x:c>
      <x:c r="K530" s="9" t="str">
        <x:v>Bank payment matched to GST-coded TradePilot entry</x:v>
      </x:c>
      <x:c r="L530" s="9" t="str">
        <x:v>Matched business purchase.</x:v>
      </x:c>
      <x:c r="M530" s="9" t="str">
        <x:v>zgc4tj</x:v>
      </x:c>
    </x:row>
    <x:row r="531" ht="15" hidden="0" customHeight="1">
      <x:c r="A531" s="9" t="str">
        <x:v>Payments basis</x:v>
      </x:c>
      <x:c r="B531" s="9" t="str">
        <x:v>1 Feb-31 Jul 2026</x:v>
      </x:c>
      <x:c r="C531" s="10" t="n">
        <x:v>46157</x:v>
      </x:c>
      <x:c r="D531" s="9" t="str">
        <x:v>Purchase</x:v>
      </x:c>
      <x:c r="E531" s="9" t="str">
        <x:v>BNZ + TradePilot match</x:v>
      </x:c>
      <x:c r="F531" s="9" t="str">
        <x:v>b.social</x:v>
      </x:c>
      <x:c r="G531" s="11" t="n">
        <x:v>46.76</x:v>
      </x:c>
      <x:c r="H531" s="11" t="n">
        <x:v>6.1</x:v>
      </x:c>
      <x:c r="I531" s="9" t="str">
        <x:v>Y</x:v>
      </x:c>
      <x:c r="J531" s="9" t="str">
        <x:v>High</x:v>
      </x:c>
      <x:c r="K531" s="9" t="str">
        <x:v>Bank payment matched to GST-coded TradePilot entry</x:v>
      </x:c>
      <x:c r="L531" s="9" t="str">
        <x:v>Matched business purchase.</x:v>
      </x:c>
      <x:c r="M531" s="9" t="str">
        <x:v>1wwunh</x:v>
      </x:c>
    </x:row>
    <x:row r="532" ht="15" hidden="0" customHeight="1">
      <x:c r="A532" s="9" t="str">
        <x:v>Payments basis</x:v>
      </x:c>
      <x:c r="B532" s="9" t="str">
        <x:v>1 Feb-31 Jul 2026</x:v>
      </x:c>
      <x:c r="C532" s="10" t="n">
        <x:v>46157</x:v>
      </x:c>
      <x:c r="D532" s="9" t="str">
        <x:v>Purchase</x:v>
      </x:c>
      <x:c r="E532" s="9" t="str">
        <x:v>BNZ + TradePilot match</x:v>
      </x:c>
      <x:c r="F532" s="9" t="str">
        <x:v>b.social</x:v>
      </x:c>
      <x:c r="G532" s="11" t="n">
        <x:v>10.17</x:v>
      </x:c>
      <x:c r="H532" s="11" t="n">
        <x:v>1.33</x:v>
      </x:c>
      <x:c r="I532" s="9" t="str">
        <x:v>Y</x:v>
      </x:c>
      <x:c r="J532" s="9" t="str">
        <x:v>High</x:v>
      </x:c>
      <x:c r="K532" s="9" t="str">
        <x:v>Bank payment matched to GST-coded TradePilot entry</x:v>
      </x:c>
      <x:c r="L532" s="9" t="str">
        <x:v>Matched business purchase.</x:v>
      </x:c>
      <x:c r="M532" s="9" t="str">
        <x:v>x9cb62</x:v>
      </x:c>
    </x:row>
    <x:row r="533" ht="15" hidden="0" customHeight="1">
      <x:c r="A533" s="9" t="str">
        <x:v>Payments basis</x:v>
      </x:c>
      <x:c r="B533" s="9" t="str">
        <x:v>1 Feb-31 Jul 2026</x:v>
      </x:c>
      <x:c r="C533" s="10" t="n">
        <x:v>46157</x:v>
      </x:c>
      <x:c r="D533" s="9" t="str">
        <x:v>Purchase</x:v>
      </x:c>
      <x:c r="E533" s="9" t="str">
        <x:v>BNZ + TradePilot match</x:v>
      </x:c>
      <x:c r="F533" s="9" t="str">
        <x:v>Wanaka Auto Repairs</x:v>
      </x:c>
      <x:c r="G533" s="11" t="n">
        <x:v>301.97</x:v>
      </x:c>
      <x:c r="H533" s="11" t="n">
        <x:v>39.39</x:v>
      </x:c>
      <x:c r="I533" s="9" t="str">
        <x:v>Y</x:v>
      </x:c>
      <x:c r="J533" s="9" t="str">
        <x:v>High</x:v>
      </x:c>
      <x:c r="K533" s="9" t="str">
        <x:v>Bank payment matched to GST-coded TradePilot entry</x:v>
      </x:c>
      <x:c r="L533" s="9" t="str">
        <x:v>Matched business purchase.</x:v>
      </x:c>
      <x:c r="M533" s="9" t="str">
        <x:v>6fw7qq</x:v>
      </x:c>
    </x:row>
    <x:row r="534" ht="15" hidden="0" customHeight="1">
      <x:c r="A534" s="9" t="str">
        <x:v>Payments basis</x:v>
      </x:c>
      <x:c r="B534" s="9" t="str">
        <x:v>1 Feb-31 Jul 2026</x:v>
      </x:c>
      <x:c r="C534" s="10" t="n">
        <x:v>46158</x:v>
      </x:c>
      <x:c r="D534" s="9" t="str">
        <x:v>Purchase</x:v>
      </x:c>
      <x:c r="E534" s="9" t="str">
        <x:v>BNZ + TradePilot match</x:v>
      </x:c>
      <x:c r="F534" s="9" t="str">
        <x:v>MITRE 10 MEGA WANAKA</x:v>
      </x:c>
      <x:c r="G534" s="11" t="n">
        <x:v>119.35</x:v>
      </x:c>
      <x:c r="H534" s="11" t="n">
        <x:v>15.57</x:v>
      </x:c>
      <x:c r="I534" s="9" t="str">
        <x:v>Y</x:v>
      </x:c>
      <x:c r="J534" s="9" t="str">
        <x:v>High</x:v>
      </x:c>
      <x:c r="K534" s="9" t="str">
        <x:v>Bank payment matched to GST-coded TradePilot entry</x:v>
      </x:c>
      <x:c r="L534" s="9" t="str">
        <x:v>Matched business purchase.</x:v>
      </x:c>
      <x:c r="M534" s="9" t="str">
        <x:v>f61sjn</x:v>
      </x:c>
    </x:row>
    <x:row r="535" ht="15" hidden="0" customHeight="1">
      <x:c r="A535" s="9" t="str">
        <x:v>Payments basis</x:v>
      </x:c>
      <x:c r="B535" s="9" t="str">
        <x:v>1 Feb-31 Jul 2026</x:v>
      </x:c>
      <x:c r="C535" s="10" t="n">
        <x:v>46158</x:v>
      </x:c>
      <x:c r="D535" s="9" t="str">
        <x:v>Purchase</x:v>
      </x:c>
      <x:c r="E535" s="9" t="str">
        <x:v>BNZ + TradePilot match</x:v>
      </x:c>
      <x:c r="F535" s="9" t="str">
        <x:v>ONE NZ</x:v>
      </x:c>
      <x:c r="G535" s="11" t="n">
        <x:v>193.73</x:v>
      </x:c>
      <x:c r="H535" s="11" t="n">
        <x:v>25.27</x:v>
      </x:c>
      <x:c r="I535" s="9" t="str">
        <x:v>Y</x:v>
      </x:c>
      <x:c r="J535" s="9" t="str">
        <x:v>High</x:v>
      </x:c>
      <x:c r="K535" s="9" t="str">
        <x:v>Bank payment matched to GST-coded TradePilot entry</x:v>
      </x:c>
      <x:c r="L535" s="9" t="str">
        <x:v>Matched business purchase.</x:v>
      </x:c>
      <x:c r="M535" s="9" t="str">
        <x:v>49kaan</x:v>
      </x:c>
    </x:row>
    <x:row r="536" ht="15" hidden="0" customHeight="1">
      <x:c r="A536" s="9" t="str">
        <x:v>Payments basis</x:v>
      </x:c>
      <x:c r="B536" s="9" t="str">
        <x:v>1 Feb-31 Jul 2026</x:v>
      </x:c>
      <x:c r="C536" s="10" t="n">
        <x:v>46160</x:v>
      </x:c>
      <x:c r="D536" s="9" t="str">
        <x:v>Purchase</x:v>
      </x:c>
      <x:c r="E536" s="9" t="str">
        <x:v>BNZ + TradePilot match</x:v>
      </x:c>
      <x:c r="F536" s="9" t="str">
        <x:v>WWW.TRADEMAX.CO.NZ</x:v>
      </x:c>
      <x:c r="G536" s="11" t="n">
        <x:v>475.51</x:v>
      </x:c>
      <x:c r="H536" s="11" t="n">
        <x:v>62.02</x:v>
      </x:c>
      <x:c r="I536" s="9" t="str">
        <x:v>Y</x:v>
      </x:c>
      <x:c r="J536" s="9" t="str">
        <x:v>High</x:v>
      </x:c>
      <x:c r="K536" s="9" t="str">
        <x:v>Bank payment matched to GST-coded TradePilot entry</x:v>
      </x:c>
      <x:c r="L536" s="9" t="str">
        <x:v>Split allocation consolidated to one bank payment.</x:v>
      </x:c>
      <x:c r="M536" s="9" t="str">
        <x:v>5q47b8</x:v>
      </x:c>
    </x:row>
    <x:row r="537" ht="15" hidden="0" customHeight="1">
      <x:c r="A537" s="9" t="str">
        <x:v>Payments basis</x:v>
      </x:c>
      <x:c r="B537" s="9" t="str">
        <x:v>1 Feb-31 Jul 2026</x:v>
      </x:c>
      <x:c r="C537" s="10" t="n">
        <x:v>46160</x:v>
      </x:c>
      <x:c r="D537" s="9" t="str">
        <x:v>Purchase</x:v>
      </x:c>
      <x:c r="E537" s="9" t="str">
        <x:v>BNZ + TradePilot match</x:v>
      </x:c>
      <x:c r="F537" s="9" t="str">
        <x:v>THE WAREHOUSE 212 WA</x:v>
      </x:c>
      <x:c r="G537" s="11" t="n">
        <x:v>191.99</x:v>
      </x:c>
      <x:c r="H537" s="11" t="n">
        <x:v>25.04</x:v>
      </x:c>
      <x:c r="I537" s="9" t="str">
        <x:v>Y</x:v>
      </x:c>
      <x:c r="J537" s="9" t="str">
        <x:v>High</x:v>
      </x:c>
      <x:c r="K537" s="9" t="str">
        <x:v>Bank payment matched to GST-coded TradePilot entry</x:v>
      </x:c>
      <x:c r="L537" s="9" t="str">
        <x:v>Matched business purchase.</x:v>
      </x:c>
      <x:c r="M537" s="9" t="str">
        <x:v>og6sbm</x:v>
      </x:c>
    </x:row>
    <x:row r="538" ht="15" hidden="0" customHeight="1">
      <x:c r="A538" s="9" t="str">
        <x:v>Payments basis</x:v>
      </x:c>
      <x:c r="B538" s="9" t="str">
        <x:v>1 Feb-31 Jul 2026</x:v>
      </x:c>
      <x:c r="C538" s="10" t="n">
        <x:v>46160</x:v>
      </x:c>
      <x:c r="D538" s="9" t="str">
        <x:v>Purchase</x:v>
      </x:c>
      <x:c r="E538" s="9" t="str">
        <x:v>BNZ + TradePilot match</x:v>
      </x:c>
      <x:c r="F538" s="9" t="str">
        <x:v>Dulux</x:v>
      </x:c>
      <x:c r="G538" s="11" t="n">
        <x:v>365.26</x:v>
      </x:c>
      <x:c r="H538" s="11" t="n">
        <x:v>47.64</x:v>
      </x:c>
      <x:c r="I538" s="9" t="str">
        <x:v>Y</x:v>
      </x:c>
      <x:c r="J538" s="9" t="str">
        <x:v>High</x:v>
      </x:c>
      <x:c r="K538" s="9" t="str">
        <x:v>Bank payment matched to GST-coded TradePilot entry</x:v>
      </x:c>
      <x:c r="L538" s="9" t="str">
        <x:v>Split allocation consolidated to one bank payment.</x:v>
      </x:c>
      <x:c r="M538" s="9" t="str">
        <x:v>uvsuuy</x:v>
      </x:c>
    </x:row>
    <x:row r="539" ht="15" hidden="0" customHeight="1">
      <x:c r="A539" s="9" t="str">
        <x:v>Payments basis</x:v>
      </x:c>
      <x:c r="B539" s="9" t="str">
        <x:v>1 Feb-31 Jul 2026</x:v>
      </x:c>
      <x:c r="C539" s="10" t="n">
        <x:v>46160</x:v>
      </x:c>
      <x:c r="D539" s="9" t="str">
        <x:v>Purchase</x:v>
      </x:c>
      <x:c r="E539" s="9" t="str">
        <x:v>BNZ + TradePilot match</x:v>
      </x:c>
      <x:c r="F539" s="9" t="str">
        <x:v>RS TRADE CENTRE</x:v>
      </x:c>
      <x:c r="G539" s="11" t="n">
        <x:v>116.2</x:v>
      </x:c>
      <x:c r="H539" s="11" t="n">
        <x:v>15.16</x:v>
      </x:c>
      <x:c r="I539" s="9" t="str">
        <x:v>Y</x:v>
      </x:c>
      <x:c r="J539" s="9" t="str">
        <x:v>High</x:v>
      </x:c>
      <x:c r="K539" s="9" t="str">
        <x:v>Bank payment matched to GST-coded TradePilot entry</x:v>
      </x:c>
      <x:c r="L539" s="9" t="str">
        <x:v>Matched business purchase.</x:v>
      </x:c>
      <x:c r="M539" s="9" t="str">
        <x:v>ul5jku</x:v>
      </x:c>
    </x:row>
    <x:row r="540" ht="15" hidden="0" customHeight="1">
      <x:c r="A540" s="9" t="str">
        <x:v>Payments basis</x:v>
      </x:c>
      <x:c r="B540" s="9" t="str">
        <x:v>1 Feb-31 Jul 2026</x:v>
      </x:c>
      <x:c r="C540" s="10" t="n">
        <x:v>46162</x:v>
      </x:c>
      <x:c r="D540" s="9" t="str">
        <x:v>Purchase</x:v>
      </x:c>
      <x:c r="E540" s="9" t="str">
        <x:v>BNZ + TradePilot match</x:v>
      </x:c>
      <x:c r="F540" s="9" t="str">
        <x:v>MITRE 10 MEGA WANAKA</x:v>
      </x:c>
      <x:c r="G540" s="11" t="n">
        <x:v>106.2</x:v>
      </x:c>
      <x:c r="H540" s="11" t="n">
        <x:v>13.85</x:v>
      </x:c>
      <x:c r="I540" s="9" t="str">
        <x:v>Y</x:v>
      </x:c>
      <x:c r="J540" s="9" t="str">
        <x:v>High</x:v>
      </x:c>
      <x:c r="K540" s="9" t="str">
        <x:v>Bank payment matched to GST-coded TradePilot entry</x:v>
      </x:c>
      <x:c r="L540" s="9" t="str">
        <x:v>Matched business purchase.</x:v>
      </x:c>
      <x:c r="M540" s="9" t="str">
        <x:v>493qoi</x:v>
      </x:c>
    </x:row>
    <x:row r="541" ht="15" hidden="0" customHeight="1">
      <x:c r="A541" s="9" t="str">
        <x:v>Payments basis</x:v>
      </x:c>
      <x:c r="B541" s="9" t="str">
        <x:v>1 Feb-31 Jul 2026</x:v>
      </x:c>
      <x:c r="C541" s="10" t="n">
        <x:v>46162</x:v>
      </x:c>
      <x:c r="D541" s="9" t="str">
        <x:v>Purchase</x:v>
      </x:c>
      <x:c r="E541" s="9" t="str">
        <x:v>BNZ + TradePilot match</x:v>
      </x:c>
      <x:c r="F541" s="9" t="str">
        <x:v>BP CONNECT WANAKA</x:v>
      </x:c>
      <x:c r="G541" s="11" t="n">
        <x:v>100.97</x:v>
      </x:c>
      <x:c r="H541" s="11" t="n">
        <x:v>13.17</x:v>
      </x:c>
      <x:c r="I541" s="9" t="str">
        <x:v>Y</x:v>
      </x:c>
      <x:c r="J541" s="9" t="str">
        <x:v>High</x:v>
      </x:c>
      <x:c r="K541" s="9" t="str">
        <x:v>Bank payment matched to GST-coded TradePilot entry</x:v>
      </x:c>
      <x:c r="L541" s="9" t="str">
        <x:v>Matched business purchase.</x:v>
      </x:c>
      <x:c r="M541" s="9" t="str">
        <x:v>phdtec</x:v>
      </x:c>
    </x:row>
    <x:row r="542" ht="15" hidden="0" customHeight="1">
      <x:c r="A542" s="9" t="str">
        <x:v>Payments basis</x:v>
      </x:c>
      <x:c r="B542" s="9" t="str">
        <x:v>1 Feb-31 Jul 2026</x:v>
      </x:c>
      <x:c r="C542" s="10" t="n">
        <x:v>46162</x:v>
      </x:c>
      <x:c r="D542" s="9" t="str">
        <x:v>Purchase</x:v>
      </x:c>
      <x:c r="E542" s="9" t="str">
        <x:v>BNZ + TradePilot match</x:v>
      </x:c>
      <x:c r="F542" s="9" t="str">
        <x:v>PUKKA LIMITED</x:v>
      </x:c>
      <x:c r="G542" s="11" t="n">
        <x:v>510.26</x:v>
      </x:c>
      <x:c r="H542" s="11" t="n">
        <x:v>66.56</x:v>
      </x:c>
      <x:c r="I542" s="9" t="str">
        <x:v>Y</x:v>
      </x:c>
      <x:c r="J542" s="9" t="str">
        <x:v>High</x:v>
      </x:c>
      <x:c r="K542" s="9" t="str">
        <x:v>Bank payment matched to GST-coded TradePilot entry</x:v>
      </x:c>
      <x:c r="L542" s="9" t="str">
        <x:v>Matched business purchase.</x:v>
      </x:c>
      <x:c r="M542" s="9" t="str">
        <x:v>p2otx9</x:v>
      </x:c>
    </x:row>
    <x:row r="543" ht="15" hidden="0" customHeight="1">
      <x:c r="A543" s="9" t="str">
        <x:v>Payments basis</x:v>
      </x:c>
      <x:c r="B543" s="9" t="str">
        <x:v>1 Feb-31 Jul 2026</x:v>
      </x:c>
      <x:c r="C543" s="10" t="n">
        <x:v>46167</x:v>
      </x:c>
      <x:c r="D543" s="9" t="str">
        <x:v>Purchase</x:v>
      </x:c>
      <x:c r="E543" s="9" t="str">
        <x:v>BNZ + TradePilot match</x:v>
      </x:c>
      <x:c r="F543" s="9" t="str">
        <x:v>CYAN LION</x:v>
      </x:c>
      <x:c r="G543" s="11" t="n">
        <x:v>115</x:v>
      </x:c>
      <x:c r="H543" s="11" t="n">
        <x:v>15</x:v>
      </x:c>
      <x:c r="I543" s="9" t="str">
        <x:v>Y</x:v>
      </x:c>
      <x:c r="J543" s="9" t="str">
        <x:v>High</x:v>
      </x:c>
      <x:c r="K543" s="9" t="str">
        <x:v>Bank payment matched to GST-coded TradePilot entry</x:v>
      </x:c>
      <x:c r="L543" s="9" t="str">
        <x:v>Matched business purchase.</x:v>
      </x:c>
      <x:c r="M543" s="9" t="str">
        <x:v>bjx03j</x:v>
      </x:c>
    </x:row>
    <x:row r="544" ht="15" hidden="0" customHeight="1">
      <x:c r="A544" s="9" t="str">
        <x:v>Payments basis</x:v>
      </x:c>
      <x:c r="B544" s="9" t="str">
        <x:v>1 Feb-31 Jul 2026</x:v>
      </x:c>
      <x:c r="C544" s="10" t="n">
        <x:v>46169</x:v>
      </x:c>
      <x:c r="D544" s="9" t="str">
        <x:v>Sale</x:v>
      </x:c>
      <x:c r="E544" s="9" t="str">
        <x:v>BNZ + TradePilot match</x:v>
      </x:c>
      <x:c r="F544" s="9" t="str">
        <x:v>THE CENTRAL L · C L E C · Deposit</x:v>
      </x:c>
      <x:c r="G544" s="11" t="n">
        <x:v>1794</x:v>
      </x:c>
      <x:c r="H544" s="11" t="n">
        <x:v>234</x:v>
      </x:c>
      <x:c r="I544" s="9" t="str">
        <x:v>Y</x:v>
      </x:c>
      <x:c r="J544" s="9" t="str">
        <x:v>High</x:v>
      </x:c>
      <x:c r="K544" s="9" t="str">
        <x:v>Bank receipt matched to TradePilot</x:v>
      </x:c>
      <x:c r="L544" s="9" t="str">
        <x:v>Customer receipt; exact bank amount used.</x:v>
      </x:c>
      <x:c r="M544" s="9" t="str">
        <x:v>ggx3ld</x:v>
      </x:c>
    </x:row>
    <x:row r="545" ht="15" hidden="0" customHeight="1">
      <x:c r="A545" s="9" t="str">
        <x:v>Payments basis</x:v>
      </x:c>
      <x:c r="B545" s="9" t="str">
        <x:v>1 Feb-31 Jul 2026</x:v>
      </x:c>
      <x:c r="C545" s="10" t="n">
        <x:v>46171</x:v>
      </x:c>
      <x:c r="D545" s="9" t="str">
        <x:v>Purchase</x:v>
      </x:c>
      <x:c r="E545" s="9" t="str">
        <x:v>BNZ + TradePilot match</x:v>
      </x:c>
      <x:c r="F545" s="9" t="str">
        <x:v>MITRE 10 CROMWELL</x:v>
      </x:c>
      <x:c r="G545" s="11" t="n">
        <x:v>238.93</x:v>
      </x:c>
      <x:c r="H545" s="11" t="n">
        <x:v>31.16</x:v>
      </x:c>
      <x:c r="I545" s="9" t="str">
        <x:v>Y</x:v>
      </x:c>
      <x:c r="J545" s="9" t="str">
        <x:v>High</x:v>
      </x:c>
      <x:c r="K545" s="9" t="str">
        <x:v>Bank payment matched to GST-coded TradePilot entry</x:v>
      </x:c>
      <x:c r="L545" s="9" t="str">
        <x:v>Matched business purchase.</x:v>
      </x:c>
      <x:c r="M545" s="9" t="str">
        <x:v>tdw2e8</x:v>
      </x:c>
    </x:row>
    <x:row r="546" ht="15" hidden="0" customHeight="1">
      <x:c r="A546" s="9" t="str">
        <x:v>Payments basis</x:v>
      </x:c>
      <x:c r="B546" s="9" t="str">
        <x:v>1 Feb-31 Jul 2026</x:v>
      </x:c>
      <x:c r="C546" s="10" t="n">
        <x:v>46172</x:v>
      </x:c>
      <x:c r="D546" s="9" t="str">
        <x:v>Purchase</x:v>
      </x:c>
      <x:c r="E546" s="9" t="str">
        <x:v>BNZ + TradePilot match</x:v>
      </x:c>
      <x:c r="F546" s="9" t="str">
        <x:v>MITRE 10 MEGA WANAKA</x:v>
      </x:c>
      <x:c r="G546" s="11" t="n">
        <x:v>29.17</x:v>
      </x:c>
      <x:c r="H546" s="11" t="n">
        <x:v>3.8</x:v>
      </x:c>
      <x:c r="I546" s="9" t="str">
        <x:v>Y</x:v>
      </x:c>
      <x:c r="J546" s="9" t="str">
        <x:v>High</x:v>
      </x:c>
      <x:c r="K546" s="9" t="str">
        <x:v>Bank payment matched to GST-coded TradePilot entry</x:v>
      </x:c>
      <x:c r="L546" s="9" t="str">
        <x:v>Matched business purchase.</x:v>
      </x:c>
      <x:c r="M546" s="9" t="str">
        <x:v>p2io4z</x:v>
      </x:c>
    </x:row>
    <x:row r="547" ht="15" hidden="0" customHeight="1">
      <x:c r="A547" s="9" t="str">
        <x:v>Payments basis</x:v>
      </x:c>
      <x:c r="B547" s="9" t="str">
        <x:v>1 Feb-31 Jul 2026</x:v>
      </x:c>
      <x:c r="C547" s="10" t="n">
        <x:v>46172</x:v>
      </x:c>
      <x:c r="D547" s="9" t="str">
        <x:v>Purchase</x:v>
      </x:c>
      <x:c r="E547" s="9" t="str">
        <x:v>BNZ + TradePilot match</x:v>
      </x:c>
      <x:c r="F547" s="9" t="str">
        <x:v>CLAUDE.AI SUBSCRIPTI</x:v>
      </x:c>
      <x:c r="G547" s="11" t="n">
        <x:v>200</x:v>
      </x:c>
      <x:c r="H547" s="11" t="n">
        <x:v>26.09</x:v>
      </x:c>
      <x:c r="I547" s="9" t="str">
        <x:v>Y</x:v>
      </x:c>
      <x:c r="J547" s="9" t="str">
        <x:v>High</x:v>
      </x:c>
      <x:c r="K547" s="9" t="str">
        <x:v>Bank payment matched to GST-coded TradePilot entry</x:v>
      </x:c>
      <x:c r="L547" s="9" t="str">
        <x:v>Matched business purchase.</x:v>
      </x:c>
      <x:c r="M547" s="9" t="str">
        <x:v>ap7ljt</x:v>
      </x:c>
    </x:row>
    <x:row r="548" ht="15" hidden="0" customHeight="1">
      <x:c r="A548" s="9" t="str">
        <x:v>Payments basis</x:v>
      </x:c>
      <x:c r="B548" s="9" t="str">
        <x:v>1 Feb-31 Jul 2026</x:v>
      </x:c>
      <x:c r="C548" s="10" t="n">
        <x:v>46173</x:v>
      </x:c>
      <x:c r="D548" s="9" t="str">
        <x:v>Purchase</x:v>
      </x:c>
      <x:c r="E548" s="9" t="str">
        <x:v>BNZ + TradePilot match</x:v>
      </x:c>
      <x:c r="F548" s="9" t="str">
        <x:v>BP 2GO CROMWELL</x:v>
      </x:c>
      <x:c r="G548" s="11" t="n">
        <x:v>156.18</x:v>
      </x:c>
      <x:c r="H548" s="11" t="n">
        <x:v>20.37</x:v>
      </x:c>
      <x:c r="I548" s="9" t="str">
        <x:v>Y</x:v>
      </x:c>
      <x:c r="J548" s="9" t="str">
        <x:v>High</x:v>
      </x:c>
      <x:c r="K548" s="9" t="str">
        <x:v>Bank payment matched to GST-coded TradePilot entry</x:v>
      </x:c>
      <x:c r="L548" s="9" t="str">
        <x:v>Matched business purchase.</x:v>
      </x:c>
      <x:c r="M548" s="9" t="str">
        <x:v>y515l</x:v>
      </x:c>
    </x:row>
    <x:row r="549" ht="15" hidden="0" customHeight="1">
      <x:c r="A549" s="9" t="str">
        <x:v>Payments basis</x:v>
      </x:c>
      <x:c r="B549" s="9" t="str">
        <x:v>1 Feb-31 Jul 2026</x:v>
      </x:c>
      <x:c r="C549" s="10" t="n">
        <x:v>46173</x:v>
      </x:c>
      <x:c r="D549" s="9" t="str">
        <x:v>Purchase</x:v>
      </x:c>
      <x:c r="E549" s="9" t="str">
        <x:v>BNZ + TradePilot match</x:v>
      </x:c>
      <x:c r="F549" s="9" t="str">
        <x:v>MITRE 10 CROMWELL</x:v>
      </x:c>
      <x:c r="G549" s="11" t="n">
        <x:v>33.54</x:v>
      </x:c>
      <x:c r="H549" s="11" t="n">
        <x:v>4.38</x:v>
      </x:c>
      <x:c r="I549" s="9" t="str">
        <x:v>Y</x:v>
      </x:c>
      <x:c r="J549" s="9" t="str">
        <x:v>High</x:v>
      </x:c>
      <x:c r="K549" s="9" t="str">
        <x:v>Bank payment matched to GST-coded TradePilot entry</x:v>
      </x:c>
      <x:c r="L549" s="9" t="str">
        <x:v>Split allocation consolidated to one bank payment.</x:v>
      </x:c>
      <x:c r="M549" s="9" t="str">
        <x:v>net1k8</x:v>
      </x:c>
    </x:row>
    <x:row r="550" ht="15" hidden="0" customHeight="1">
      <x:c r="A550" s="9" t="str">
        <x:v>Payments basis</x:v>
      </x:c>
      <x:c r="B550" s="9" t="str">
        <x:v>1 Feb-31 Jul 2026</x:v>
      </x:c>
      <x:c r="C550" s="10" t="n">
        <x:v>46174</x:v>
      </x:c>
      <x:c r="D550" s="9" t="str">
        <x:v>Purchase</x:v>
      </x:c>
      <x:c r="E550" s="9" t="str">
        <x:v>BNZ + TradePilot match</x:v>
      </x:c>
      <x:c r="F550" s="9" t="str">
        <x:v>Google Workspace_lak</x:v>
      </x:c>
      <x:c r="G550" s="11" t="n">
        <x:v>18.11</x:v>
      </x:c>
      <x:c r="H550" s="11" t="n">
        <x:v>2.36</x:v>
      </x:c>
      <x:c r="I550" s="9" t="str">
        <x:v>Y</x:v>
      </x:c>
      <x:c r="J550" s="9" t="str">
        <x:v>High</x:v>
      </x:c>
      <x:c r="K550" s="9" t="str">
        <x:v>Bank payment matched to GST-coded TradePilot entry</x:v>
      </x:c>
      <x:c r="L550" s="9" t="str">
        <x:v>Matched business purchase.</x:v>
      </x:c>
      <x:c r="M550" s="9" t="str">
        <x:v>ixlom5</x:v>
      </x:c>
    </x:row>
    <x:row r="551" ht="15" hidden="0" customHeight="1">
      <x:c r="A551" s="9" t="str">
        <x:v>Payments basis</x:v>
      </x:c>
      <x:c r="B551" s="9" t="str">
        <x:v>1 Feb-31 Jul 2026</x:v>
      </x:c>
      <x:c r="C551" s="10" t="n">
        <x:v>46174</x:v>
      </x:c>
      <x:c r="D551" s="9" t="str">
        <x:v>Purchase</x:v>
      </x:c>
      <x:c r="E551" s="9" t="str">
        <x:v>BNZ + TradePilot match</x:v>
      </x:c>
      <x:c r="F551" s="9" t="str">
        <x:v>MITRE 10 CROMWELL</x:v>
      </x:c>
      <x:c r="G551" s="11" t="n">
        <x:v>159.9</x:v>
      </x:c>
      <x:c r="H551" s="11" t="n">
        <x:v>20.86</x:v>
      </x:c>
      <x:c r="I551" s="9" t="str">
        <x:v>Y</x:v>
      </x:c>
      <x:c r="J551" s="9" t="str">
        <x:v>High</x:v>
      </x:c>
      <x:c r="K551" s="9" t="str">
        <x:v>Bank payment matched to GST-coded TradePilot entry</x:v>
      </x:c>
      <x:c r="L551" s="9" t="str">
        <x:v>Matched business purchase.</x:v>
      </x:c>
      <x:c r="M551" s="9" t="str">
        <x:v>ue4ze3</x:v>
      </x:c>
    </x:row>
    <x:row r="552" ht="15" hidden="0" customHeight="1">
      <x:c r="A552" s="9" t="str">
        <x:v>Payments basis</x:v>
      </x:c>
      <x:c r="B552" s="9" t="str">
        <x:v>1 Feb-31 Jul 2026</x:v>
      </x:c>
      <x:c r="C552" s="10" t="n">
        <x:v>46176</x:v>
      </x:c>
      <x:c r="D552" s="9" t="str">
        <x:v>Purchase</x:v>
      </x:c>
      <x:c r="E552" s="9" t="str">
        <x:v>BNZ + TradePilot match</x:v>
      </x:c>
      <x:c r="F552" s="9" t="str">
        <x:v>BP 2GO CROMWELL</x:v>
      </x:c>
      <x:c r="G552" s="11" t="n">
        <x:v>177.22</x:v>
      </x:c>
      <x:c r="H552" s="11" t="n">
        <x:v>23.12</x:v>
      </x:c>
      <x:c r="I552" s="9" t="str">
        <x:v>Y</x:v>
      </x:c>
      <x:c r="J552" s="9" t="str">
        <x:v>High</x:v>
      </x:c>
      <x:c r="K552" s="9" t="str">
        <x:v>Bank payment matched to GST-coded TradePilot entry</x:v>
      </x:c>
      <x:c r="L552" s="9" t="str">
        <x:v>Matched business purchase.</x:v>
      </x:c>
      <x:c r="M552" s="9" t="str">
        <x:v>sl5lxg</x:v>
      </x:c>
    </x:row>
    <x:row r="553" ht="15" hidden="0" customHeight="1">
      <x:c r="A553" s="9" t="str">
        <x:v>Payments basis</x:v>
      </x:c>
      <x:c r="B553" s="9" t="str">
        <x:v>1 Feb-31 Jul 2026</x:v>
      </x:c>
      <x:c r="C553" s="10" t="n">
        <x:v>46176</x:v>
      </x:c>
      <x:c r="D553" s="9" t="str">
        <x:v>Purchase</x:v>
      </x:c>
      <x:c r="E553" s="9" t="str">
        <x:v>BNZ + TradePilot match</x:v>
      </x:c>
      <x:c r="F553" s="9" t="str">
        <x:v>INTERCITYWEB</x:v>
      </x:c>
      <x:c r="G553" s="11" t="n">
        <x:v>85.5</x:v>
      </x:c>
      <x:c r="H553" s="11" t="n">
        <x:v>11.15</x:v>
      </x:c>
      <x:c r="I553" s="9" t="str">
        <x:v>Y</x:v>
      </x:c>
      <x:c r="J553" s="9" t="str">
        <x:v>High</x:v>
      </x:c>
      <x:c r="K553" s="9" t="str">
        <x:v>Bank payment matched to GST-coded TradePilot entry</x:v>
      </x:c>
      <x:c r="L553" s="9" t="str">
        <x:v>Matched business purchase.</x:v>
      </x:c>
      <x:c r="M553" s="9" t="str">
        <x:v>domyky</x:v>
      </x:c>
    </x:row>
    <x:row r="554" ht="15" hidden="0" customHeight="1">
      <x:c r="A554" s="9" t="str">
        <x:v>Payments basis</x:v>
      </x:c>
      <x:c r="B554" s="9" t="str">
        <x:v>1 Feb-31 Jul 2026</x:v>
      </x:c>
      <x:c r="C554" s="10" t="n">
        <x:v>46180</x:v>
      </x:c>
      <x:c r="D554" s="9" t="str">
        <x:v>Purchase</x:v>
      </x:c>
      <x:c r="E554" s="9" t="str">
        <x:v>BNZ + TradePilot match</x:v>
      </x:c>
      <x:c r="F554" s="9" t="str">
        <x:v>OPENAI *CHATGPT SUBS</x:v>
      </x:c>
      <x:c r="G554" s="11" t="n">
        <x:v>40.63</x:v>
      </x:c>
      <x:c r="H554" s="11" t="n">
        <x:v>5.3</x:v>
      </x:c>
      <x:c r="I554" s="9" t="str">
        <x:v>Y</x:v>
      </x:c>
      <x:c r="J554" s="9" t="str">
        <x:v>High</x:v>
      </x:c>
      <x:c r="K554" s="9" t="str">
        <x:v>Bank payment matched to GST-coded TradePilot entry</x:v>
      </x:c>
      <x:c r="L554" s="9" t="str">
        <x:v>Matched business purchase.</x:v>
      </x:c>
      <x:c r="M554" s="9" t="str">
        <x:v>5cmp7b</x:v>
      </x:c>
    </x:row>
    <x:row r="555" ht="15" hidden="0" customHeight="1">
      <x:c r="A555" s="9" t="str">
        <x:v>Payments basis</x:v>
      </x:c>
      <x:c r="B555" s="9" t="str">
        <x:v>1 Feb-31 Jul 2026</x:v>
      </x:c>
      <x:c r="C555" s="10" t="n">
        <x:v>46181</x:v>
      </x:c>
      <x:c r="D555" s="9" t="str">
        <x:v>Purchase</x:v>
      </x:c>
      <x:c r="E555" s="9" t="str">
        <x:v>BNZ + TradePilot match</x:v>
      </x:c>
      <x:c r="F555" s="9" t="str">
        <x:v>ANGELA HILL</x:v>
      </x:c>
      <x:c r="G555" s="11" t="n">
        <x:v>9000</x:v>
      </x:c>
      <x:c r="H555" s="11" t="n">
        <x:v>1173.91</x:v>
      </x:c>
      <x:c r="I555" s="9" t="str">
        <x:v>Y</x:v>
      </x:c>
      <x:c r="J555" s="9" t="str">
        <x:v>High</x:v>
      </x:c>
      <x:c r="K555" s="9" t="str">
        <x:v>Bank payment matched to GST-coded TradePilot entry</x:v>
      </x:c>
      <x:c r="L555" s="9" t="str">
        <x:v>Matched business purchase.</x:v>
      </x:c>
      <x:c r="M555" s="9" t="str">
        <x:v>9cgigs</x:v>
      </x:c>
    </x:row>
    <x:row r="556" ht="15" hidden="0" customHeight="1">
      <x:c r="A556" s="9" t="str">
        <x:v>Payments basis</x:v>
      </x:c>
      <x:c r="B556" s="9" t="str">
        <x:v>1 Feb-31 Jul 2026</x:v>
      </x:c>
      <x:c r="C556" s="10" t="n">
        <x:v>46182</x:v>
      </x:c>
      <x:c r="D556" s="9" t="str">
        <x:v>Sale</x:v>
      </x:c>
      <x:c r="E556" s="9" t="str">
        <x:v>BNZ + TradePilot match</x:v>
      </x:c>
      <x:c r="F556" s="9" t="str">
        <x:v>THE CENTRAL L · C L E C · QUO-034</x:v>
      </x:c>
      <x:c r="G556" s="11" t="n">
        <x:v>4186</x:v>
      </x:c>
      <x:c r="H556" s="11" t="n">
        <x:v>546</x:v>
      </x:c>
      <x:c r="I556" s="9" t="str">
        <x:v>Y</x:v>
      </x:c>
      <x:c r="J556" s="9" t="str">
        <x:v>High</x:v>
      </x:c>
      <x:c r="K556" s="9" t="str">
        <x:v>Bank receipt matched to TradePilot</x:v>
      </x:c>
      <x:c r="L556" s="9" t="str">
        <x:v>Customer receipt; exact bank amount used.</x:v>
      </x:c>
      <x:c r="M556" s="9" t="str">
        <x:v>pork35</x:v>
      </x:c>
    </x:row>
    <x:row r="557" ht="15" hidden="0" customHeight="1">
      <x:c r="A557" s="9" t="str">
        <x:v>Payments basis</x:v>
      </x:c>
      <x:c r="B557" s="9" t="str">
        <x:v>1 Feb-31 Jul 2026</x:v>
      </x:c>
      <x:c r="C557" s="10" t="n">
        <x:v>46184</x:v>
      </x:c>
      <x:c r="D557" s="9" t="str">
        <x:v>Purchase</x:v>
      </x:c>
      <x:c r="E557" s="9" t="str">
        <x:v>BNZ + TradePilot match</x:v>
      </x:c>
      <x:c r="F557" s="9" t="str">
        <x:v>BP CONNECT WANAKA</x:v>
      </x:c>
      <x:c r="G557" s="11" t="n">
        <x:v>80.97</x:v>
      </x:c>
      <x:c r="H557" s="11" t="n">
        <x:v>10.56</x:v>
      </x:c>
      <x:c r="I557" s="9" t="str">
        <x:v>Y</x:v>
      </x:c>
      <x:c r="J557" s="9" t="str">
        <x:v>High</x:v>
      </x:c>
      <x:c r="K557" s="9" t="str">
        <x:v>Bank payment matched to GST-coded TradePilot entry</x:v>
      </x:c>
      <x:c r="L557" s="9" t="str">
        <x:v>Matched business purchase.</x:v>
      </x:c>
      <x:c r="M557" s="9" t="str">
        <x:v>kpk1vh</x:v>
      </x:c>
    </x:row>
    <x:row r="558" ht="15" hidden="0" customHeight="1">
      <x:c r="A558" s="9" t="str">
        <x:v>Payments basis</x:v>
      </x:c>
      <x:c r="B558" s="9" t="str">
        <x:v>1 Feb-31 Jul 2026</x:v>
      </x:c>
      <x:c r="C558" s="10" t="n">
        <x:v>46185</x:v>
      </x:c>
      <x:c r="D558" s="9" t="str">
        <x:v>Purchase</x:v>
      </x:c>
      <x:c r="E558" s="9" t="str">
        <x:v>BNZ + TradePilot match</x:v>
      </x:c>
      <x:c r="F558" s="9" t="str">
        <x:v>AA INSURANCE</x:v>
      </x:c>
      <x:c r="G558" s="11" t="n">
        <x:v>70.77</x:v>
      </x:c>
      <x:c r="H558" s="11" t="n">
        <x:v>9.23</x:v>
      </x:c>
      <x:c r="I558" s="9" t="str">
        <x:v>Y</x:v>
      </x:c>
      <x:c r="J558" s="9" t="str">
        <x:v>High</x:v>
      </x:c>
      <x:c r="K558" s="9" t="str">
        <x:v>Bank payment matched to GST-coded TradePilot entry</x:v>
      </x:c>
      <x:c r="L558" s="9" t="str">
        <x:v>Matched business purchase.</x:v>
      </x:c>
      <x:c r="M558" s="9" t="str">
        <x:v>pdkyxx</x:v>
      </x:c>
    </x:row>
    <x:row r="559" ht="15" hidden="0" customHeight="1">
      <x:c r="A559" s="9" t="str">
        <x:v>Payments basis</x:v>
      </x:c>
      <x:c r="B559" s="9" t="str">
        <x:v>1 Feb-31 Jul 2026</x:v>
      </x:c>
      <x:c r="C559" s="10" t="n">
        <x:v>46188</x:v>
      </x:c>
      <x:c r="D559" s="9" t="str">
        <x:v>Purchase</x:v>
      </x:c>
      <x:c r="E559" s="9" t="str">
        <x:v>BNZ + TradePilot match</x:v>
      </x:c>
      <x:c r="F559" s="9" t="str">
        <x:v>ONE NZ</x:v>
      </x:c>
      <x:c r="G559" s="11" t="n">
        <x:v>193.73</x:v>
      </x:c>
      <x:c r="H559" s="11" t="n">
        <x:v>25.27</x:v>
      </x:c>
      <x:c r="I559" s="9" t="str">
        <x:v>Y</x:v>
      </x:c>
      <x:c r="J559" s="9" t="str">
        <x:v>High</x:v>
      </x:c>
      <x:c r="K559" s="9" t="str">
        <x:v>Bank payment matched to GST-coded TradePilot entry</x:v>
      </x:c>
      <x:c r="L559" s="9" t="str">
        <x:v>Matched business purchase.</x:v>
      </x:c>
      <x:c r="M559" s="9" t="str">
        <x:v>xo09e6</x:v>
      </x:c>
    </x:row>
    <x:row r="560" ht="15" hidden="0" customHeight="1">
      <x:c r="A560" s="9" t="str">
        <x:v>Payments basis</x:v>
      </x:c>
      <x:c r="B560" s="9" t="str">
        <x:v>1 Feb-31 Jul 2026</x:v>
      </x:c>
      <x:c r="C560" s="10" t="n">
        <x:v>46188</x:v>
      </x:c>
      <x:c r="D560" s="9" t="str">
        <x:v>Sale</x:v>
      </x:c>
      <x:c r="E560" s="9" t="str">
        <x:v>BNZ + TradePilot match</x:v>
      </x:c>
      <x:c r="F560" s="9" t="str">
        <x:v>Home &amp; Co · Lakesidepain</x:v>
      </x:c>
      <x:c r="G560" s="11" t="n">
        <x:v>6081.49</x:v>
      </x:c>
      <x:c r="H560" s="11" t="n">
        <x:v>793.24</x:v>
      </x:c>
      <x:c r="I560" s="9" t="str">
        <x:v>Y</x:v>
      </x:c>
      <x:c r="J560" s="9" t="str">
        <x:v>High</x:v>
      </x:c>
      <x:c r="K560" s="9" t="str">
        <x:v>Bank receipt matched to TradePilot</x:v>
      </x:c>
      <x:c r="L560" s="9" t="str">
        <x:v>Customer receipt; exact bank amount used.</x:v>
      </x:c>
      <x:c r="M560" s="9" t="str">
        <x:v>69img6</x:v>
      </x:c>
    </x:row>
    <x:row r="561" ht="15" hidden="0" customHeight="1">
      <x:c r="A561" s="9" t="str">
        <x:v>Payments basis</x:v>
      </x:c>
      <x:c r="B561" s="9" t="str">
        <x:v>1 Feb-31 Jul 2026</x:v>
      </x:c>
      <x:c r="C561" s="10" t="n">
        <x:v>46189</x:v>
      </x:c>
      <x:c r="D561" s="9" t="str">
        <x:v>Purchase</x:v>
      </x:c>
      <x:c r="E561" s="9" t="str">
        <x:v>BNZ + TradePilot match</x:v>
      </x:c>
      <x:c r="F561" s="9" t="str">
        <x:v>Wanaka Auto Repairs</x:v>
      </x:c>
      <x:c r="G561" s="11" t="n">
        <x:v>356.29</x:v>
      </x:c>
      <x:c r="H561" s="11" t="n">
        <x:v>46.47</x:v>
      </x:c>
      <x:c r="I561" s="9" t="str">
        <x:v>Y</x:v>
      </x:c>
      <x:c r="J561" s="9" t="str">
        <x:v>High</x:v>
      </x:c>
      <x:c r="K561" s="9" t="str">
        <x:v>Bank payment matched to GST-coded TradePilot entry</x:v>
      </x:c>
      <x:c r="L561" s="9" t="str">
        <x:v>Matched business purchase.</x:v>
      </x:c>
      <x:c r="M561" s="9" t="str">
        <x:v>3sggtp</x:v>
      </x:c>
    </x:row>
    <x:row r="562" ht="15" hidden="0" customHeight="1">
      <x:c r="A562" s="9" t="str">
        <x:v>Payments basis</x:v>
      </x:c>
      <x:c r="B562" s="9" t="str">
        <x:v>1 Feb-31 Jul 2026</x:v>
      </x:c>
      <x:c r="C562" s="10" t="n">
        <x:v>46190</x:v>
      </x:c>
      <x:c r="D562" s="9" t="str">
        <x:v>Purchase</x:v>
      </x:c>
      <x:c r="E562" s="9" t="str">
        <x:v>BNZ + TradePilot match</x:v>
      </x:c>
      <x:c r="F562" s="9" t="str">
        <x:v>WASTE MANAGEMENT</x:v>
      </x:c>
      <x:c r="G562" s="11" t="n">
        <x:v>45</x:v>
      </x:c>
      <x:c r="H562" s="11" t="n">
        <x:v>5.87</x:v>
      </x:c>
      <x:c r="I562" s="9" t="str">
        <x:v>Y</x:v>
      </x:c>
      <x:c r="J562" s="9" t="str">
        <x:v>High</x:v>
      </x:c>
      <x:c r="K562" s="9" t="str">
        <x:v>Bank payment matched to GST-coded TradePilot entry</x:v>
      </x:c>
      <x:c r="L562" s="9" t="str">
        <x:v>Matched business purchase.</x:v>
      </x:c>
      <x:c r="M562" s="9" t="str">
        <x:v>dfopez</x:v>
      </x:c>
    </x:row>
    <x:row r="563" ht="15" hidden="0" customHeight="1">
      <x:c r="A563" s="9" t="str">
        <x:v>Payments basis</x:v>
      </x:c>
      <x:c r="B563" s="9" t="str">
        <x:v>1 Feb-31 Jul 2026</x:v>
      </x:c>
      <x:c r="C563" s="10" t="n">
        <x:v>46190</x:v>
      </x:c>
      <x:c r="D563" s="9" t="str">
        <x:v>Sale</x:v>
      </x:c>
      <x:c r="E563" s="9" t="str">
        <x:v>BNZ + TradePilot match</x:v>
      </x:c>
      <x:c r="F563" s="9" t="str">
        <x:v>Wray M R &amp; M J · INV-CD14E6 · 42bFarrantDr</x:v>
      </x:c>
      <x:c r="G563" s="11" t="n">
        <x:v>761.76</x:v>
      </x:c>
      <x:c r="H563" s="11" t="n">
        <x:v>99.36</x:v>
      </x:c>
      <x:c r="I563" s="9" t="str">
        <x:v>Y</x:v>
      </x:c>
      <x:c r="J563" s="9" t="str">
        <x:v>High</x:v>
      </x:c>
      <x:c r="K563" s="9" t="str">
        <x:v>Bank receipt matched to TradePilot</x:v>
      </x:c>
      <x:c r="L563" s="9" t="str">
        <x:v>Customer receipt; exact bank amount used.</x:v>
      </x:c>
      <x:c r="M563" s="9" t="str">
        <x:v>db1r64</x:v>
      </x:c>
    </x:row>
    <x:row r="564" ht="15" hidden="0" customHeight="1">
      <x:c r="A564" s="9" t="str">
        <x:v>Payments basis</x:v>
      </x:c>
      <x:c r="B564" s="9" t="str">
        <x:v>1 Feb-31 Jul 2026</x:v>
      </x:c>
      <x:c r="C564" s="10" t="n">
        <x:v>46193</x:v>
      </x:c>
      <x:c r="D564" s="9" t="str">
        <x:v>Purchase</x:v>
      </x:c>
      <x:c r="E564" s="9" t="str">
        <x:v>BNZ + TradePilot match</x:v>
      </x:c>
      <x:c r="F564" s="9" t="str">
        <x:v>Dulux</x:v>
      </x:c>
      <x:c r="G564" s="11" t="n">
        <x:v>1449.01</x:v>
      </x:c>
      <x:c r="H564" s="11" t="n">
        <x:v>188.99</x:v>
      </x:c>
      <x:c r="I564" s="9" t="str">
        <x:v>Y</x:v>
      </x:c>
      <x:c r="J564" s="9" t="str">
        <x:v>High</x:v>
      </x:c>
      <x:c r="K564" s="9" t="str">
        <x:v>Bank payment matched to GST-coded TradePilot entry</x:v>
      </x:c>
      <x:c r="L564" s="9" t="str">
        <x:v>Split allocation consolidated to one bank payment.</x:v>
      </x:c>
      <x:c r="M564" s="9" t="str">
        <x:v>lwu4ov</x:v>
      </x:c>
    </x:row>
    <x:row r="565" ht="15" hidden="0" customHeight="1">
      <x:c r="A565" s="9" t="str">
        <x:v>Payments basis</x:v>
      </x:c>
      <x:c r="B565" s="9" t="str">
        <x:v>1 Feb-31 Jul 2026</x:v>
      </x:c>
      <x:c r="C565" s="10" t="n">
        <x:v>46193</x:v>
      </x:c>
      <x:c r="D565" s="9" t="str">
        <x:v>Purchase</x:v>
      </x:c>
      <x:c r="E565" s="9" t="str">
        <x:v>BNZ + TradePilot match</x:v>
      </x:c>
      <x:c r="F565" s="9" t="str">
        <x:v>Taskhound Limited</x:v>
      </x:c>
      <x:c r="G565" s="11" t="n">
        <x:v>987.73</x:v>
      </x:c>
      <x:c r="H565" s="11" t="n">
        <x:v>128.83</x:v>
      </x:c>
      <x:c r="I565" s="9" t="str">
        <x:v>Y</x:v>
      </x:c>
      <x:c r="J565" s="9" t="str">
        <x:v>High</x:v>
      </x:c>
      <x:c r="K565" s="9" t="str">
        <x:v>Bank payment matched to GST-coded TradePilot entry</x:v>
      </x:c>
      <x:c r="L565" s="9" t="str">
        <x:v>Matched business purchase.</x:v>
      </x:c>
      <x:c r="M565" s="9" t="str">
        <x:v>wz5nqf</x:v>
      </x:c>
    </x:row>
    <x:row r="566" ht="15" hidden="0" customHeight="1">
      <x:c r="A566" s="9" t="str">
        <x:v>Payments basis</x:v>
      </x:c>
      <x:c r="B566" s="9" t="str">
        <x:v>1 Feb-31 Jul 2026</x:v>
      </x:c>
      <x:c r="C566" s="10" t="n">
        <x:v>46193</x:v>
      </x:c>
      <x:c r="D566" s="9" t="str">
        <x:v>Purchase</x:v>
      </x:c>
      <x:c r="E566" s="9" t="str">
        <x:v>BNZ + TradePilot match</x:v>
      </x:c>
      <x:c r="F566" s="9" t="str">
        <x:v>RESENE PAINTS LTD</x:v>
      </x:c>
      <x:c r="G566" s="11" t="n">
        <x:v>268.76</x:v>
      </x:c>
      <x:c r="H566" s="11" t="n">
        <x:v>35.06</x:v>
      </x:c>
      <x:c r="I566" s="9" t="str">
        <x:v>Y</x:v>
      </x:c>
      <x:c r="J566" s="9" t="str">
        <x:v>High</x:v>
      </x:c>
      <x:c r="K566" s="9" t="str">
        <x:v>Bank payment matched to GST-coded TradePilot entry</x:v>
      </x:c>
      <x:c r="L566" s="9" t="str">
        <x:v>Split allocation consolidated to one bank payment.</x:v>
      </x:c>
      <x:c r="M566" s="9" t="str">
        <x:v>3so5vi</x:v>
      </x:c>
    </x:row>
    <x:row r="567" ht="15" hidden="0" customHeight="1">
      <x:c r="A567" s="9" t="str">
        <x:v>Payments basis</x:v>
      </x:c>
      <x:c r="B567" s="9" t="str">
        <x:v>1 Feb-31 Jul 2026</x:v>
      </x:c>
      <x:c r="C567" s="10" t="n">
        <x:v>46195</x:v>
      </x:c>
      <x:c r="D567" s="9" t="str">
        <x:v>Purchase</x:v>
      </x:c>
      <x:c r="E567" s="9" t="str">
        <x:v>BNZ + TradePilot match</x:v>
      </x:c>
      <x:c r="F567" s="9" t="str">
        <x:v>BP CONNECT WANAKA</x:v>
      </x:c>
      <x:c r="G567" s="11" t="n">
        <x:v>30.22</x:v>
      </x:c>
      <x:c r="H567" s="11" t="n">
        <x:v>3.94</x:v>
      </x:c>
      <x:c r="I567" s="9" t="str">
        <x:v>Y</x:v>
      </x:c>
      <x:c r="J567" s="9" t="str">
        <x:v>High</x:v>
      </x:c>
      <x:c r="K567" s="9" t="str">
        <x:v>Bank payment matched to GST-coded TradePilot entry</x:v>
      </x:c>
      <x:c r="L567" s="9" t="str">
        <x:v>Matched business purchase.</x:v>
      </x:c>
      <x:c r="M567" s="9" t="str">
        <x:v>eiu7n4</x:v>
      </x:c>
    </x:row>
    <x:row r="568" ht="15" hidden="0" customHeight="1">
      <x:c r="A568" s="9" t="str">
        <x:v>Payments basis</x:v>
      </x:c>
      <x:c r="B568" s="9" t="str">
        <x:v>1 Feb-31 Jul 2026</x:v>
      </x:c>
      <x:c r="C568" s="10" t="n">
        <x:v>46195</x:v>
      </x:c>
      <x:c r="D568" s="9" t="str">
        <x:v>Purchase</x:v>
      </x:c>
      <x:c r="E568" s="9" t="str">
        <x:v>BNZ + TradePilot match</x:v>
      </x:c>
      <x:c r="F568" s="9" t="str">
        <x:v>MITRE 10 MEGA WANAKA</x:v>
      </x:c>
      <x:c r="G568" s="11" t="n">
        <x:v>27.96</x:v>
      </x:c>
      <x:c r="H568" s="11" t="n">
        <x:v>3.65</x:v>
      </x:c>
      <x:c r="I568" s="9" t="str">
        <x:v>Y</x:v>
      </x:c>
      <x:c r="J568" s="9" t="str">
        <x:v>High</x:v>
      </x:c>
      <x:c r="K568" s="9" t="str">
        <x:v>Bank payment matched to GST-coded TradePilot entry</x:v>
      </x:c>
      <x:c r="L568" s="9" t="str">
        <x:v>Matched business purchase.</x:v>
      </x:c>
      <x:c r="M568" s="9" t="str">
        <x:v>i3vt8w</x:v>
      </x:c>
    </x:row>
    <x:row r="569" ht="15" hidden="0" customHeight="1">
      <x:c r="A569" s="9" t="str">
        <x:v>Payments basis</x:v>
      </x:c>
      <x:c r="B569" s="9" t="str">
        <x:v>1 Feb-31 Jul 2026</x:v>
      </x:c>
      <x:c r="C569" s="10" t="n">
        <x:v>46195</x:v>
      </x:c>
      <x:c r="D569" s="9" t="str">
        <x:v>Sale</x:v>
      </x:c>
      <x:c r="E569" s="9" t="str">
        <x:v>BNZ + TradePilot match</x:v>
      </x:c>
      <x:c r="F569" s="9" t="str">
        <x:v>MCCUTCHEON LI · 21 Mt Linton</x:v>
      </x:c>
      <x:c r="G569" s="11" t="n">
        <x:v>598</x:v>
      </x:c>
      <x:c r="H569" s="11" t="n">
        <x:v>78</x:v>
      </x:c>
      <x:c r="I569" s="9" t="str">
        <x:v>Y</x:v>
      </x:c>
      <x:c r="J569" s="9" t="str">
        <x:v>High</x:v>
      </x:c>
      <x:c r="K569" s="9" t="str">
        <x:v>Bank receipt matched to TradePilot</x:v>
      </x:c>
      <x:c r="L569" s="9" t="str">
        <x:v>Customer receipt; exact bank amount used.</x:v>
      </x:c>
      <x:c r="M569" s="9" t="str">
        <x:v>7n29o3</x:v>
      </x:c>
    </x:row>
    <x:row r="570" ht="15" hidden="0" customHeight="1">
      <x:c r="A570" s="9" t="str">
        <x:v>Payments basis</x:v>
      </x:c>
      <x:c r="B570" s="9" t="str">
        <x:v>1 Feb-31 Jul 2026</x:v>
      </x:c>
      <x:c r="C570" s="10" t="n">
        <x:v>46196</x:v>
      </x:c>
      <x:c r="D570" s="9" t="str">
        <x:v>Purchase</x:v>
      </x:c>
      <x:c r="E570" s="9" t="str">
        <x:v>BNZ + TradePilot match</x:v>
      </x:c>
      <x:c r="F570" s="9" t="str">
        <x:v>MITRE 10 MEGA WANAKA</x:v>
      </x:c>
      <x:c r="G570" s="11" t="n">
        <x:v>64.84</x:v>
      </x:c>
      <x:c r="H570" s="11" t="n">
        <x:v>8.46</x:v>
      </x:c>
      <x:c r="I570" s="9" t="str">
        <x:v>Y</x:v>
      </x:c>
      <x:c r="J570" s="9" t="str">
        <x:v>High</x:v>
      </x:c>
      <x:c r="K570" s="9" t="str">
        <x:v>Bank payment matched to GST-coded TradePilot entry</x:v>
      </x:c>
      <x:c r="L570" s="9" t="str">
        <x:v>Matched business purchase.</x:v>
      </x:c>
      <x:c r="M570" s="9" t="str">
        <x:v>dvs6q1</x:v>
      </x:c>
    </x:row>
    <x:row r="571" ht="15" hidden="0" customHeight="1">
      <x:c r="A571" s="9" t="str">
        <x:v>Payments basis</x:v>
      </x:c>
      <x:c r="B571" s="9" t="str">
        <x:v>1 Feb-31 Jul 2026</x:v>
      </x:c>
      <x:c r="C571" s="10" t="n">
        <x:v>46196</x:v>
      </x:c>
      <x:c r="D571" s="9" t="str">
        <x:v>Purchase</x:v>
      </x:c>
      <x:c r="E571" s="9" t="str">
        <x:v>BNZ + TradePilot match</x:v>
      </x:c>
      <x:c r="F571" s="9" t="str">
        <x:v>MITRE 10 MEGA WANAKA</x:v>
      </x:c>
      <x:c r="G571" s="11" t="n">
        <x:v>420.09</x:v>
      </x:c>
      <x:c r="H571" s="11" t="n">
        <x:v>54.79</x:v>
      </x:c>
      <x:c r="I571" s="9" t="str">
        <x:v>Y</x:v>
      </x:c>
      <x:c r="J571" s="9" t="str">
        <x:v>High</x:v>
      </x:c>
      <x:c r="K571" s="9" t="str">
        <x:v>Bank payment matched to GST-coded TradePilot entry</x:v>
      </x:c>
      <x:c r="L571" s="9" t="str">
        <x:v>Matched business purchase.</x:v>
      </x:c>
      <x:c r="M571" s="9" t="str">
        <x:v>p09bk</x:v>
      </x:c>
    </x:row>
    <x:row r="572" ht="15" hidden="0" customHeight="1">
      <x:c r="A572" s="9" t="str">
        <x:v>Payments basis</x:v>
      </x:c>
      <x:c r="B572" s="9" t="str">
        <x:v>1 Feb-31 Jul 2026</x:v>
      </x:c>
      <x:c r="C572" s="10" t="n">
        <x:v>46198</x:v>
      </x:c>
      <x:c r="D572" s="9" t="str">
        <x:v>Purchase</x:v>
      </x:c>
      <x:c r="E572" s="9" t="str">
        <x:v>BNZ + TradePilot match</x:v>
      </x:c>
      <x:c r="F572" s="9" t="str">
        <x:v>BP CONNECT WANAKA</x:v>
      </x:c>
      <x:c r="G572" s="11" t="n">
        <x:v>88.09</x:v>
      </x:c>
      <x:c r="H572" s="11" t="n">
        <x:v>11.49</x:v>
      </x:c>
      <x:c r="I572" s="9" t="str">
        <x:v>Y</x:v>
      </x:c>
      <x:c r="J572" s="9" t="str">
        <x:v>High</x:v>
      </x:c>
      <x:c r="K572" s="9" t="str">
        <x:v>Bank payment matched to GST-coded TradePilot entry</x:v>
      </x:c>
      <x:c r="L572" s="9" t="str">
        <x:v>Matched business purchase.</x:v>
      </x:c>
      <x:c r="M572" s="9" t="str">
        <x:v>emyws7</x:v>
      </x:c>
    </x:row>
    <x:row r="573" ht="15" hidden="0" customHeight="1">
      <x:c r="A573" s="9" t="str">
        <x:v>Payments basis</x:v>
      </x:c>
      <x:c r="B573" s="9" t="str">
        <x:v>1 Feb-31 Jul 2026</x:v>
      </x:c>
      <x:c r="C573" s="10" t="n">
        <x:v>46199</x:v>
      </x:c>
      <x:c r="D573" s="9" t="str">
        <x:v>Sale</x:v>
      </x:c>
      <x:c r="E573" s="9" t="str">
        <x:v>BNZ + TradePilot match</x:v>
      </x:c>
      <x:c r="F573" s="9" t="str">
        <x:v>STEPHENS AMY · Amy Bixby</x:v>
      </x:c>
      <x:c r="G573" s="11" t="n">
        <x:v>1322.5</x:v>
      </x:c>
      <x:c r="H573" s="11" t="n">
        <x:v>172.5</x:v>
      </x:c>
      <x:c r="I573" s="9" t="str">
        <x:v>Y</x:v>
      </x:c>
      <x:c r="J573" s="9" t="str">
        <x:v>High</x:v>
      </x:c>
      <x:c r="K573" s="9" t="str">
        <x:v>Bank receipt matched to TradePilot</x:v>
      </x:c>
      <x:c r="L573" s="9" t="str">
        <x:v>Customer receipt; exact bank amount used.</x:v>
      </x:c>
      <x:c r="M573" s="9" t="str">
        <x:v>xh13m0</x:v>
      </x:c>
    </x:row>
    <x:row r="574" ht="15" hidden="0" customHeight="1">
      <x:c r="A574" s="9" t="str">
        <x:v>Payments basis</x:v>
      </x:c>
      <x:c r="B574" s="9" t="str">
        <x:v>1 Feb-31 Jul 2026</x:v>
      </x:c>
      <x:c r="C574" s="10" t="n">
        <x:v>46200</x:v>
      </x:c>
      <x:c r="D574" s="9" t="str">
        <x:v>Purchase</x:v>
      </x:c>
      <x:c r="E574" s="9" t="str">
        <x:v>BNZ + TradePilot match</x:v>
      </x:c>
      <x:c r="F574" s="9" t="str">
        <x:v>MITRE 10 MEGA WANAKA</x:v>
      </x:c>
      <x:c r="G574" s="11" t="n">
        <x:v>134.32</x:v>
      </x:c>
      <x:c r="H574" s="11" t="n">
        <x:v>17.52</x:v>
      </x:c>
      <x:c r="I574" s="9" t="str">
        <x:v>Y</x:v>
      </x:c>
      <x:c r="J574" s="9" t="str">
        <x:v>High</x:v>
      </x:c>
      <x:c r="K574" s="9" t="str">
        <x:v>Bank payment matched to GST-coded TradePilot entry</x:v>
      </x:c>
      <x:c r="L574" s="9" t="str">
        <x:v>Matched business purchase.</x:v>
      </x:c>
      <x:c r="M574" s="9" t="str">
        <x:v>yg3dxb</x:v>
      </x:c>
    </x:row>
    <x:row r="575" ht="15" hidden="0" customHeight="1">
      <x:c r="A575" s="9" t="str">
        <x:v>Payments basis</x:v>
      </x:c>
      <x:c r="B575" s="9" t="str">
        <x:v>1 Feb-31 Jul 2026</x:v>
      </x:c>
      <x:c r="C575" s="10" t="n">
        <x:v>46201</x:v>
      </x:c>
      <x:c r="D575" s="9" t="str">
        <x:v>Purchase</x:v>
      </x:c>
      <x:c r="E575" s="9" t="str">
        <x:v>BNZ + TradePilot match</x:v>
      </x:c>
      <x:c r="F575" s="9" t="str">
        <x:v>BP CONNECT WANAKA</x:v>
      </x:c>
      <x:c r="G575" s="11" t="n">
        <x:v>112.29</x:v>
      </x:c>
      <x:c r="H575" s="11" t="n">
        <x:v>14.65</x:v>
      </x:c>
      <x:c r="I575" s="9" t="str">
        <x:v>Y</x:v>
      </x:c>
      <x:c r="J575" s="9" t="str">
        <x:v>High</x:v>
      </x:c>
      <x:c r="K575" s="9" t="str">
        <x:v>Bank payment matched to GST-coded TradePilot entry</x:v>
      </x:c>
      <x:c r="L575" s="9" t="str">
        <x:v>Matched business purchase.</x:v>
      </x:c>
      <x:c r="M575" s="9" t="str">
        <x:v>2xft0i</x:v>
      </x:c>
    </x:row>
    <x:row r="576" ht="15" hidden="0" customHeight="1">
      <x:c r="A576" s="9" t="str">
        <x:v>Payments basis</x:v>
      </x:c>
      <x:c r="B576" s="9" t="str">
        <x:v>1 Feb-31 Jul 2026</x:v>
      </x:c>
      <x:c r="C576" s="10" t="n">
        <x:v>46203</x:v>
      </x:c>
      <x:c r="D576" s="9" t="str">
        <x:v>Purchase</x:v>
      </x:c>
      <x:c r="E576" s="9" t="str">
        <x:v>BNZ + TradePilot match</x:v>
      </x:c>
      <x:c r="F576" s="9" t="str">
        <x:v>ANTHROPIC* CLAUDE SU</x:v>
      </x:c>
      <x:c r="G576" s="11" t="n">
        <x:v>200</x:v>
      </x:c>
      <x:c r="H576" s="11" t="n">
        <x:v>26.09</x:v>
      </x:c>
      <x:c r="I576" s="9" t="str">
        <x:v>Y</x:v>
      </x:c>
      <x:c r="J576" s="9" t="str">
        <x:v>High</x:v>
      </x:c>
      <x:c r="K576" s="9" t="str">
        <x:v>Bank payment matched to GST-coded TradePilot entry</x:v>
      </x:c>
      <x:c r="L576" s="9" t="str">
        <x:v>Matched business purchase.</x:v>
      </x:c>
      <x:c r="M576" s="9" t="str">
        <x:v>yk4vw2</x:v>
      </x:c>
    </x:row>
    <x:row r="577" ht="15" hidden="0" customHeight="1">
      <x:c r="A577" s="9" t="str">
        <x:v>Payments basis</x:v>
      </x:c>
      <x:c r="B577" s="9" t="str">
        <x:v>1 Feb-31 Jul 2026</x:v>
      </x:c>
      <x:c r="C577" s="10" t="n">
        <x:v>46204</x:v>
      </x:c>
      <x:c r="D577" s="9" t="str">
        <x:v>Purchase</x:v>
      </x:c>
      <x:c r="E577" s="9" t="str">
        <x:v>BNZ + TradePilot match</x:v>
      </x:c>
      <x:c r="F577" s="9" t="str">
        <x:v>WWW.TRADEMAX.CO.NZ</x:v>
      </x:c>
      <x:c r="G577" s="11" t="n">
        <x:v>588</x:v>
      </x:c>
      <x:c r="H577" s="11" t="n">
        <x:v>76.7</x:v>
      </x:c>
      <x:c r="I577" s="9" t="str">
        <x:v>Y</x:v>
      </x:c>
      <x:c r="J577" s="9" t="str">
        <x:v>High</x:v>
      </x:c>
      <x:c r="K577" s="9" t="str">
        <x:v>Bank payment matched to GST-coded TradePilot entry</x:v>
      </x:c>
      <x:c r="L577" s="9" t="str">
        <x:v>Matched business purchase.</x:v>
      </x:c>
      <x:c r="M577" s="9" t="str">
        <x:v>5rb1z3</x:v>
      </x:c>
    </x:row>
    <x:row r="578" ht="15" hidden="0" customHeight="1">
      <x:c r="A578" s="9" t="str">
        <x:v>Payments basis</x:v>
      </x:c>
      <x:c r="B578" s="9" t="str">
        <x:v>1 Feb-31 Jul 2026</x:v>
      </x:c>
      <x:c r="C578" s="10" t="n">
        <x:v>46204</x:v>
      </x:c>
      <x:c r="D578" s="9" t="str">
        <x:v>Purchase</x:v>
      </x:c>
      <x:c r="E578" s="9" t="str">
        <x:v>BNZ + TradePilot match</x:v>
      </x:c>
      <x:c r="F578" s="9" t="str">
        <x:v>Google Workspace_lak</x:v>
      </x:c>
      <x:c r="G578" s="11" t="n">
        <x:v>22.75</x:v>
      </x:c>
      <x:c r="H578" s="11" t="n">
        <x:v>2.97</x:v>
      </x:c>
      <x:c r="I578" s="9" t="str">
        <x:v>Y</x:v>
      </x:c>
      <x:c r="J578" s="9" t="str">
        <x:v>High</x:v>
      </x:c>
      <x:c r="K578" s="9" t="str">
        <x:v>Bank payment matched to GST-coded TradePilot entry</x:v>
      </x:c>
      <x:c r="L578" s="9" t="str">
        <x:v>Matched business purchase.</x:v>
      </x:c>
      <x:c r="M578" s="9" t="str">
        <x:v>4ju9rb</x:v>
      </x:c>
    </x:row>
    <x:row r="579" ht="15" hidden="0" customHeight="1">
      <x:c r="A579" s="9" t="str">
        <x:v>Payments basis</x:v>
      </x:c>
      <x:c r="B579" s="9" t="str">
        <x:v>1 Feb-31 Jul 2026</x:v>
      </x:c>
      <x:c r="C579" s="10" t="n">
        <x:v>46204</x:v>
      </x:c>
      <x:c r="D579" s="9" t="str">
        <x:v>Sale</x:v>
      </x:c>
      <x:c r="E579" s="9" t="str">
        <x:v>BNZ + TradePilot match</x:v>
      </x:c>
      <x:c r="F579" s="9" t="str">
        <x:v>The GC Family T · Q047</x:v>
      </x:c>
      <x:c r="G579" s="11" t="n">
        <x:v>1207.5</x:v>
      </x:c>
      <x:c r="H579" s="11" t="n">
        <x:v>157.5</x:v>
      </x:c>
      <x:c r="I579" s="9" t="str">
        <x:v>Y</x:v>
      </x:c>
      <x:c r="J579" s="9" t="str">
        <x:v>High</x:v>
      </x:c>
      <x:c r="K579" s="9" t="str">
        <x:v>Bank receipt matched to TradePilot</x:v>
      </x:c>
      <x:c r="L579" s="9" t="str">
        <x:v>Customer receipt; exact bank amount used.</x:v>
      </x:c>
      <x:c r="M579" s="9" t="str">
        <x:v>k7pb4b</x:v>
      </x:c>
    </x:row>
    <x:row r="580" ht="15" hidden="0" customHeight="1">
      <x:c r="A580" s="9" t="str">
        <x:v>Payments basis</x:v>
      </x:c>
      <x:c r="B580" s="9" t="str">
        <x:v>1 Feb-31 Jul 2026</x:v>
      </x:c>
      <x:c r="C580" s="10" t="n">
        <x:v>46204</x:v>
      </x:c>
      <x:c r="D580" s="9" t="str">
        <x:v>Sale</x:v>
      </x:c>
      <x:c r="E580" s="9" t="str">
        <x:v>BNZ + TradePilot match</x:v>
      </x:c>
      <x:c r="F580" s="9" t="str">
        <x:v>Home &amp; Co · Lakesidepain</x:v>
      </x:c>
      <x:c r="G580" s="11" t="n">
        <x:v>686.38</x:v>
      </x:c>
      <x:c r="H580" s="11" t="n">
        <x:v>89.53</x:v>
      </x:c>
      <x:c r="I580" s="9" t="str">
        <x:v>Y</x:v>
      </x:c>
      <x:c r="J580" s="9" t="str">
        <x:v>High</x:v>
      </x:c>
      <x:c r="K580" s="9" t="str">
        <x:v>Bank receipt matched to TradePilot</x:v>
      </x:c>
      <x:c r="L580" s="9" t="str">
        <x:v>Customer receipt; exact bank amount used.</x:v>
      </x:c>
      <x:c r="M580" s="9" t="str">
        <x:v>6rqeyx</x:v>
      </x:c>
    </x:row>
    <x:row r="581" ht="15" hidden="0" customHeight="1">
      <x:c r="A581" s="9" t="str">
        <x:v>Payments basis</x:v>
      </x:c>
      <x:c r="B581" s="9" t="str">
        <x:v>1 Feb-31 Jul 2026</x:v>
      </x:c>
      <x:c r="C581" s="10" t="n">
        <x:v>46205</x:v>
      </x:c>
      <x:c r="D581" s="9" t="str">
        <x:v>Purchase</x:v>
      </x:c>
      <x:c r="E581" s="9" t="str">
        <x:v>BNZ + TradePilot match</x:v>
      </x:c>
      <x:c r="F581" s="9" t="str">
        <x:v>Mighty Ape KXH748KA</x:v>
      </x:c>
      <x:c r="G581" s="11" t="n">
        <x:v>334.99</x:v>
      </x:c>
      <x:c r="H581" s="11" t="n">
        <x:v>43.69</x:v>
      </x:c>
      <x:c r="I581" s="9" t="str">
        <x:v>Y</x:v>
      </x:c>
      <x:c r="J581" s="9" t="str">
        <x:v>High</x:v>
      </x:c>
      <x:c r="K581" s="9" t="str">
        <x:v>Bank payment matched to GST-coded TradePilot entry</x:v>
      </x:c>
      <x:c r="L581" s="9" t="str">
        <x:v>Matched business purchase.</x:v>
      </x:c>
      <x:c r="M581" s="9" t="str">
        <x:v>m7fhlo</x:v>
      </x:c>
    </x:row>
    <x:row r="582" ht="15" hidden="0" customHeight="1">
      <x:c r="A582" s="9" t="str">
        <x:v>Payments basis</x:v>
      </x:c>
      <x:c r="B582" s="9" t="str">
        <x:v>1 Feb-31 Jul 2026</x:v>
      </x:c>
      <x:c r="C582" s="10" t="n">
        <x:v>46210</x:v>
      </x:c>
      <x:c r="D582" s="9" t="str">
        <x:v>Purchase</x:v>
      </x:c>
      <x:c r="E582" s="9" t="str">
        <x:v>BNZ + TradePilot match</x:v>
      </x:c>
      <x:c r="F582" s="9" t="str">
        <x:v>SUSANA ECHEVERRI</x:v>
      </x:c>
      <x:c r="G582" s="11" t="n">
        <x:v>1438.66</x:v>
      </x:c>
      <x:c r="H582" s="11" t="n">
        <x:v>187.65</x:v>
      </x:c>
      <x:c r="I582" s="9" t="str">
        <x:v>Y</x:v>
      </x:c>
      <x:c r="J582" s="9" t="str">
        <x:v>High</x:v>
      </x:c>
      <x:c r="K582" s="9" t="str">
        <x:v>Bank payment matched to GST-coded TradePilot entry</x:v>
      </x:c>
      <x:c r="L582" s="9" t="str">
        <x:v>Matched business purchase.</x:v>
      </x:c>
      <x:c r="M582" s="9" t="str">
        <x:v>aj4boa</x:v>
      </x:c>
    </x:row>
    <x:row r="583" ht="15" hidden="0" customHeight="1">
      <x:c r="A583" s="9" t="str">
        <x:v>Payments basis</x:v>
      </x:c>
      <x:c r="B583" s="9" t="str">
        <x:v>1 Feb-31 Jul 2026</x:v>
      </x:c>
      <x:c r="C583" s="10" t="n">
        <x:v>46210</x:v>
      </x:c>
      <x:c r="D583" s="9" t="str">
        <x:v>Purchase</x:v>
      </x:c>
      <x:c r="E583" s="9" t="str">
        <x:v>BNZ + TradePilot match</x:v>
      </x:c>
      <x:c r="F583" s="9" t="str">
        <x:v>OPENAI *CHATGPT SUBS</x:v>
      </x:c>
      <x:c r="G583" s="11" t="n">
        <x:v>41.44</x:v>
      </x:c>
      <x:c r="H583" s="11" t="n">
        <x:v>5.41</x:v>
      </x:c>
      <x:c r="I583" s="9" t="str">
        <x:v>Y</x:v>
      </x:c>
      <x:c r="J583" s="9" t="str">
        <x:v>High</x:v>
      </x:c>
      <x:c r="K583" s="9" t="str">
        <x:v>Bank payment matched to GST-coded TradePilot entry</x:v>
      </x:c>
      <x:c r="L583" s="9" t="str">
        <x:v>Matched business purchase.</x:v>
      </x:c>
      <x:c r="M583" s="9" t="str">
        <x:v>4n5irh</x:v>
      </x:c>
    </x:row>
    <x:row r="584" ht="15" hidden="0" customHeight="1">
      <x:c r="A584" s="9" t="str">
        <x:v>Payments basis</x:v>
      </x:c>
      <x:c r="B584" s="9" t="str">
        <x:v>1 Feb-31 Jul 2026</x:v>
      </x:c>
      <x:c r="C584" s="10" t="n">
        <x:v>46215</x:v>
      </x:c>
      <x:c r="D584" s="9" t="str">
        <x:v>Purchase</x:v>
      </x:c>
      <x:c r="E584" s="9" t="str">
        <x:v>BNZ + TradePilot match</x:v>
      </x:c>
      <x:c r="F584" s="9" t="str">
        <x:v>MITRE 10 MEGA WANAKA</x:v>
      </x:c>
      <x:c r="G584" s="11" t="n">
        <x:v>69.9</x:v>
      </x:c>
      <x:c r="H584" s="11" t="n">
        <x:v>9.12</x:v>
      </x:c>
      <x:c r="I584" s="9" t="str">
        <x:v>Y</x:v>
      </x:c>
      <x:c r="J584" s="9" t="str">
        <x:v>High</x:v>
      </x:c>
      <x:c r="K584" s="9" t="str">
        <x:v>Bank payment matched to GST-coded TradePilot entry</x:v>
      </x:c>
      <x:c r="L584" s="9" t="str">
        <x:v>Matched business purchase.</x:v>
      </x:c>
      <x:c r="M584" s="9" t="str">
        <x:v>6xpled</x:v>
      </x:c>
    </x:row>
    <x:row r="585" ht="15" hidden="0" customHeight="1">
      <x:c r="A585" s="9" t="str">
        <x:v>Payments basis</x:v>
      </x:c>
      <x:c r="B585" s="9" t="str">
        <x:v>1 Feb-31 Jul 2026</x:v>
      </x:c>
      <x:c r="C585" s="10" t="n">
        <x:v>46217</x:v>
      </x:c>
      <x:c r="D585" s="9" t="str">
        <x:v>Purchase</x:v>
      </x:c>
      <x:c r="E585" s="9" t="str">
        <x:v>BNZ + TradePilot match</x:v>
      </x:c>
      <x:c r="F585" s="9" t="str">
        <x:v>BP CONNECT WANAKA</x:v>
      </x:c>
      <x:c r="G585" s="11" t="n">
        <x:v>99.96</x:v>
      </x:c>
      <x:c r="H585" s="11" t="n">
        <x:v>13.04</x:v>
      </x:c>
      <x:c r="I585" s="9" t="str">
        <x:v>Y</x:v>
      </x:c>
      <x:c r="J585" s="9" t="str">
        <x:v>High</x:v>
      </x:c>
      <x:c r="K585" s="9" t="str">
        <x:v>Bank payment matched to GST-coded TradePilot entry</x:v>
      </x:c>
      <x:c r="L585" s="9" t="str">
        <x:v>Matched business purchase.</x:v>
      </x:c>
      <x:c r="M585" s="9" t="str">
        <x:v>yiiopa</x:v>
      </x:c>
    </x:row>
    <x:row r="586" ht="15" hidden="0" customHeight="1">
      <x:c r="A586" s="9" t="str">
        <x:v>Payments basis</x:v>
      </x:c>
      <x:c r="B586" s="9" t="str">
        <x:v>1 Feb-31 Jul 2026</x:v>
      </x:c>
      <x:c r="C586" s="10" t="n">
        <x:v>46217</x:v>
      </x:c>
      <x:c r="D586" s="9" t="str">
        <x:v>Purchase</x:v>
      </x:c>
      <x:c r="E586" s="9" t="str">
        <x:v>BNZ + TradePilot match</x:v>
      </x:c>
      <x:c r="F586" s="9" t="str">
        <x:v>AA INSURANCE</x:v>
      </x:c>
      <x:c r="G586" s="11" t="n">
        <x:v>70.77</x:v>
      </x:c>
      <x:c r="H586" s="11" t="n">
        <x:v>9.23</x:v>
      </x:c>
      <x:c r="I586" s="9" t="str">
        <x:v>Y</x:v>
      </x:c>
      <x:c r="J586" s="9" t="str">
        <x:v>High</x:v>
      </x:c>
      <x:c r="K586" s="9" t="str">
        <x:v>Bank payment matched to GST-coded TradePilot entry</x:v>
      </x:c>
      <x:c r="L586" s="9" t="str">
        <x:v>Matched business purchase.</x:v>
      </x:c>
      <x:c r="M586" s="9" t="str">
        <x:v>pujxmm</x:v>
      </x:c>
    </x:row>
    <x:row r="587" ht="15" hidden="0" customHeight="1">
      <x:c r="A587" s="9" t="str">
        <x:v>Payments basis</x:v>
      </x:c>
      <x:c r="B587" s="9" t="str">
        <x:v>1 Feb-31 Jul 2026</x:v>
      </x:c>
      <x:c r="C587" s="10" t="n">
        <x:v>46218</x:v>
      </x:c>
      <x:c r="D587" s="9" t="str">
        <x:v>Sale</x:v>
      </x:c>
      <x:c r="E587" s="9" t="str">
        <x:v>BNZ + TradePilot match</x:v>
      </x:c>
      <x:c r="F587" s="9" t="str">
        <x:v>Home &amp; Co · Lakesidepain</x:v>
      </x:c>
      <x:c r="G587" s="11" t="n">
        <x:v>2638.39</x:v>
      </x:c>
      <x:c r="H587" s="11" t="n">
        <x:v>344.14</x:v>
      </x:c>
      <x:c r="I587" s="9" t="str">
        <x:v>Y</x:v>
      </x:c>
      <x:c r="J587" s="9" t="str">
        <x:v>High</x:v>
      </x:c>
      <x:c r="K587" s="9" t="str">
        <x:v>Bank receipt matched to TradePilot</x:v>
      </x:c>
      <x:c r="L587" s="9" t="str">
        <x:v>Customer receipt; exact bank amount used.</x:v>
      </x:c>
      <x:c r="M587" s="9" t="str">
        <x:v>ws7doi</x:v>
      </x:c>
    </x:row>
    <x:row r="588" ht="15" hidden="0" customHeight="1">
      <x:c r="A588" s="9" t="str">
        <x:v>Payments basis</x:v>
      </x:c>
      <x:c r="B588" s="9" t="str">
        <x:v>1 Feb-31 Jul 2026</x:v>
      </x:c>
      <x:c r="C588" s="10" t="n">
        <x:v>46219</x:v>
      </x:c>
      <x:c r="D588" s="9" t="str">
        <x:v>Purchase</x:v>
      </x:c>
      <x:c r="E588" s="9" t="str">
        <x:v>BNZ + TradePilot match</x:v>
      </x:c>
      <x:c r="F588" s="9" t="str">
        <x:v>ONE NZ</x:v>
      </x:c>
      <x:c r="G588" s="11" t="n">
        <x:v>193.73</x:v>
      </x:c>
      <x:c r="H588" s="11" t="n">
        <x:v>25.27</x:v>
      </x:c>
      <x:c r="I588" s="9" t="str">
        <x:v>Y</x:v>
      </x:c>
      <x:c r="J588" s="9" t="str">
        <x:v>High</x:v>
      </x:c>
      <x:c r="K588" s="9" t="str">
        <x:v>Bank payment matched to GST-coded TradePilot entry</x:v>
      </x:c>
      <x:c r="L588" s="9" t="str">
        <x:v>Matched business purchase.</x:v>
      </x:c>
      <x:c r="M588" s="9" t="str">
        <x:v>unfnxv</x:v>
      </x:c>
    </x:row>
    <x:row r="589" ht="15" hidden="0" customHeight="1">
      <x:c r="A589" s="9" t="str">
        <x:v>Payments basis</x:v>
      </x:c>
      <x:c r="B589" s="9" t="str">
        <x:v>1 Feb-31 Jul 2026</x:v>
      </x:c>
      <x:c r="C589" s="10" t="n">
        <x:v>46220</x:v>
      </x:c>
      <x:c r="D589" s="9" t="str">
        <x:v>Sale</x:v>
      </x:c>
      <x:c r="E589" s="9" t="str">
        <x:v>BNZ + TradePilot match</x:v>
      </x:c>
      <x:c r="F589" s="9" t="str">
        <x:v>NICHOLSON  TD &amp; · 4 perrow st · Nicholson</x:v>
      </x:c>
      <x:c r="G589" s="11" t="n">
        <x:v>2777.25</x:v>
      </x:c>
      <x:c r="H589" s="11" t="n">
        <x:v>362.25</x:v>
      </x:c>
      <x:c r="I589" s="9" t="str">
        <x:v>Y</x:v>
      </x:c>
      <x:c r="J589" s="9" t="str">
        <x:v>High</x:v>
      </x:c>
      <x:c r="K589" s="9" t="str">
        <x:v>Bank receipt matched to TradePilot</x:v>
      </x:c>
      <x:c r="L589" s="9" t="str">
        <x:v>Customer receipt; exact bank amount used.</x:v>
      </x:c>
      <x:c r="M589" s="9" t="str">
        <x:v>fk5jsq</x:v>
      </x:c>
    </x:row>
    <x:row r="590" ht="15" hidden="0" customHeight="1">
      <x:c r="A590" s="9" t="str">
        <x:v>Payments basis</x:v>
      </x:c>
      <x:c r="B590" s="9" t="str">
        <x:v>1 Feb-31 Jul 2026</x:v>
      </x:c>
      <x:c r="C590" s="10" t="n">
        <x:v>46223</x:v>
      </x:c>
      <x:c r="D590" s="9" t="str">
        <x:v>Purchase</x:v>
      </x:c>
      <x:c r="E590" s="9" t="str">
        <x:v>BNZ + TradePilot match</x:v>
      </x:c>
      <x:c r="F590" s="9" t="str">
        <x:v>Caroline Wigg</x:v>
      </x:c>
      <x:c r="G590" s="11" t="n">
        <x:v>138</x:v>
      </x:c>
      <x:c r="H590" s="11" t="n">
        <x:v>18</x:v>
      </x:c>
      <x:c r="I590" s="9" t="str">
        <x:v>Y</x:v>
      </x:c>
      <x:c r="J590" s="9" t="str">
        <x:v>High</x:v>
      </x:c>
      <x:c r="K590" s="9" t="str">
        <x:v>Bank payment matched to GST-coded TradePilot entry</x:v>
      </x:c>
      <x:c r="L590" s="9" t="str">
        <x:v>Matched business purchase.</x:v>
      </x:c>
      <x:c r="M590" s="9" t="str">
        <x:v>t4e8cs</x:v>
      </x:c>
    </x:row>
    <x:row r="591" ht="15" hidden="0" customHeight="1">
      <x:c r="A591" s="9" t="str">
        <x:v>Payments basis</x:v>
      </x:c>
      <x:c r="B591" s="9" t="str">
        <x:v>1 Feb-31 Jul 2026</x:v>
      </x:c>
      <x:c r="C591" s="10" t="n">
        <x:v>46223</x:v>
      </x:c>
      <x:c r="D591" s="9" t="str">
        <x:v>Purchase</x:v>
      </x:c>
      <x:c r="E591" s="9" t="str">
        <x:v>BNZ + TradePilot match</x:v>
      </x:c>
      <x:c r="F591" s="9" t="str">
        <x:v>WWW.TRADEMAX.CO.NZ</x:v>
      </x:c>
      <x:c r="G591" s="11" t="n">
        <x:v>347.9</x:v>
      </x:c>
      <x:c r="H591" s="11" t="n">
        <x:v>45.38</x:v>
      </x:c>
      <x:c r="I591" s="9" t="str">
        <x:v>Y</x:v>
      </x:c>
      <x:c r="J591" s="9" t="str">
        <x:v>High</x:v>
      </x:c>
      <x:c r="K591" s="9" t="str">
        <x:v>Bank payment matched to GST-coded TradePilot entry</x:v>
      </x:c>
      <x:c r="L591" s="9" t="str">
        <x:v>Matched business purchase.</x:v>
      </x:c>
      <x:c r="M591" s="9" t="str">
        <x:v>qrf08f</x:v>
      </x:c>
    </x:row>
    <x:row r="592" ht="15" hidden="0" customHeight="1">
      <x:c r="A592" s="9" t="str">
        <x:v>Payments basis</x:v>
      </x:c>
      <x:c r="B592" s="9" t="str">
        <x:v>1 Feb-31 Jul 2026</x:v>
      </x:c>
      <x:c r="C592" s="10" t="n">
        <x:v>46223</x:v>
      </x:c>
      <x:c r="D592" s="9" t="str">
        <x:v>Purchase</x:v>
      </x:c>
      <x:c r="E592" s="9" t="str">
        <x:v>BNZ + TradePilot match</x:v>
      </x:c>
      <x:c r="F592" s="9" t="str">
        <x:v>Dulux</x:v>
      </x:c>
      <x:c r="G592" s="11" t="n">
        <x:v>498.52</x:v>
      </x:c>
      <x:c r="H592" s="11" t="n">
        <x:v>65.02</x:v>
      </x:c>
      <x:c r="I592" s="9" t="str">
        <x:v>Y</x:v>
      </x:c>
      <x:c r="J592" s="9" t="str">
        <x:v>High</x:v>
      </x:c>
      <x:c r="K592" s="9" t="str">
        <x:v>Bank payment matched to GST-coded TradePilot entry</x:v>
      </x:c>
      <x:c r="L592" s="9" t="str">
        <x:v>Matched business purchase.</x:v>
      </x:c>
      <x:c r="M592" s="9" t="str">
        <x:v>nnw3wb</x:v>
      </x:c>
    </x:row>
    <x:row r="593" ht="15" hidden="0" customHeight="1">
      <x:c r="A593" s="9" t="str">
        <x:v>Payments basis</x:v>
      </x:c>
      <x:c r="B593" s="9" t="str">
        <x:v>1 Feb-31 Jul 2026</x:v>
      </x:c>
      <x:c r="C593" s="10" t="n">
        <x:v>46223</x:v>
      </x:c>
      <x:c r="D593" s="9" t="str">
        <x:v>Purchase</x:v>
      </x:c>
      <x:c r="E593" s="9" t="str">
        <x:v>TradePilot supplier bill</x:v>
      </x:c>
      <x:c r="F593" s="9" t="str">
        <x:v>Resene Paints Ltd #424763500</x:v>
      </x:c>
      <x:c r="G593" s="11" t="n">
        <x:v>117.4</x:v>
      </x:c>
      <x:c r="H593" s="11" t="n">
        <x:v>15.31</x:v>
      </x:c>
      <x:c r="I593" s="9" t="str">
        <x:v>Y</x:v>
      </x:c>
      <x:c r="J593" s="9" t="str">
        <x:v>Review</x:v>
      </x:c>
      <x:c r="K593" s="9" t="str">
        <x:v>Supplier bill marked paid; no matching debit in supplied BNZ account</x:v>
      </x:c>
      <x:c r="L593" s="9" t="str">
        <x:v>Included provisionally; confirm paid from another account or supplier credit.</x:v>
      </x:c>
      <x:c r="M593" s="9" t="str">
        <x:v>Resene Paints Ltd #424763500</x:v>
      </x:c>
    </x:row>
    <x:row r="594" ht="15" hidden="0" customHeight="1">
      <x:c r="A594" s="9" t="str">
        <x:v>Payments basis</x:v>
      </x:c>
      <x:c r="B594" s="9" t="str">
        <x:v>1 Feb-31 Jul 2026</x:v>
      </x:c>
      <x:c r="C594" s="10" t="n">
        <x:v>46223</x:v>
      </x:c>
      <x:c r="D594" s="9" t="str">
        <x:v>Purchase</x:v>
      </x:c>
      <x:c r="E594" s="9" t="str">
        <x:v>TradePilot supplier bill</x:v>
      </x:c>
      <x:c r="F594" s="9" t="str">
        <x:v>Resene Paints Ltd #424769024</x:v>
      </x:c>
      <x:c r="G594" s="11" t="n">
        <x:v>265.66</x:v>
      </x:c>
      <x:c r="H594" s="11" t="n">
        <x:v>34.65</x:v>
      </x:c>
      <x:c r="I594" s="9" t="str">
        <x:v>Y</x:v>
      </x:c>
      <x:c r="J594" s="9" t="str">
        <x:v>Review</x:v>
      </x:c>
      <x:c r="K594" s="9" t="str">
        <x:v>Supplier bill marked paid; no matching debit in supplied BNZ account</x:v>
      </x:c>
      <x:c r="L594" s="9" t="str">
        <x:v>Included provisionally; confirm paid from another account or supplier credit.</x:v>
      </x:c>
      <x:c r="M594" s="9" t="str">
        <x:v>Resene Paints Ltd #424769024</x:v>
      </x:c>
    </x:row>
    <x:row r="595" ht="15" hidden="0" customHeight="1">
      <x:c r="A595" s="9" t="str">
        <x:v>Payments basis</x:v>
      </x:c>
      <x:c r="B595" s="9" t="str">
        <x:v>1 Feb-31 Jul 2026</x:v>
      </x:c>
      <x:c r="C595" s="10" t="n">
        <x:v>46223</x:v>
      </x:c>
      <x:c r="D595" s="9" t="str">
        <x:v>Purchase</x:v>
      </x:c>
      <x:c r="E595" s="9" t="str">
        <x:v>TradePilot supplier bill</x:v>
      </x:c>
      <x:c r="F595" s="9" t="str">
        <x:v>Resene Paints Ltd #424771838</x:v>
      </x:c>
      <x:c r="G595" s="11" t="n">
        <x:v>106.97</x:v>
      </x:c>
      <x:c r="H595" s="11" t="n">
        <x:v>13.95</x:v>
      </x:c>
      <x:c r="I595" s="9" t="str">
        <x:v>Y</x:v>
      </x:c>
      <x:c r="J595" s="9" t="str">
        <x:v>Review</x:v>
      </x:c>
      <x:c r="K595" s="9" t="str">
        <x:v>Supplier bill marked paid; no matching debit in supplied BNZ account</x:v>
      </x:c>
      <x:c r="L595" s="9" t="str">
        <x:v>Included provisionally; confirm paid from another account or supplier credit.</x:v>
      </x:c>
      <x:c r="M595" s="9" t="str">
        <x:v>Resene Paints Ltd #424771838</x:v>
      </x:c>
    </x:row>
    <x:row r="596" ht="15" hidden="0" customHeight="1">
      <x:c r="A596" s="9" t="str">
        <x:v>Payments basis</x:v>
      </x:c>
      <x:c r="B596" s="9" t="str">
        <x:v>1 Feb-31 Jul 2026</x:v>
      </x:c>
      <x:c r="C596" s="10" t="n">
        <x:v>46225</x:v>
      </x:c>
      <x:c r="D596" s="9" t="str">
        <x:v>Purchase</x:v>
      </x:c>
      <x:c r="E596" s="9" t="str">
        <x:v>BNZ + TradePilot match</x:v>
      </x:c>
      <x:c r="F596" s="9" t="str">
        <x:v>SUSANA ECHEVERRI</x:v>
      </x:c>
      <x:c r="G596" s="11" t="n">
        <x:v>1455.12</x:v>
      </x:c>
      <x:c r="H596" s="11" t="n">
        <x:v>189.8</x:v>
      </x:c>
      <x:c r="I596" s="9" t="str">
        <x:v>Y</x:v>
      </x:c>
      <x:c r="J596" s="9" t="str">
        <x:v>High</x:v>
      </x:c>
      <x:c r="K596" s="9" t="str">
        <x:v>Bank payment matched to GST-coded TradePilot entry</x:v>
      </x:c>
      <x:c r="L596" s="9" t="str">
        <x:v>Matched business purchase.</x:v>
      </x:c>
      <x:c r="M596" s="9" t="str">
        <x:v>q37uop</x:v>
      </x:c>
    </x:row>
    <x:row r="597" ht="15" hidden="0" customHeight="1">
      <x:c r="A597" s="9" t="str">
        <x:v>Payments basis</x:v>
      </x:c>
      <x:c r="B597" s="9" t="str">
        <x:v>1 Feb-31 Jul 2026</x:v>
      </x:c>
      <x:c r="C597" s="10" t="n">
        <x:v>46227</x:v>
      </x:c>
      <x:c r="D597" s="9" t="str">
        <x:v>Purchase</x:v>
      </x:c>
      <x:c r="E597" s="9" t="str">
        <x:v>BNZ + TradePilot match</x:v>
      </x:c>
      <x:c r="F597" s="9" t="str">
        <x:v>BP CONNECT WANAKA</x:v>
      </x:c>
      <x:c r="G597" s="11" t="n">
        <x:v>99.78</x:v>
      </x:c>
      <x:c r="H597" s="11" t="n">
        <x:v>13.01</x:v>
      </x:c>
      <x:c r="I597" s="9" t="str">
        <x:v>Y</x:v>
      </x:c>
      <x:c r="J597" s="9" t="str">
        <x:v>High</x:v>
      </x:c>
      <x:c r="K597" s="9" t="str">
        <x:v>Bank payment matched to GST-coded TradePilot entry</x:v>
      </x:c>
      <x:c r="L597" s="9" t="str">
        <x:v>Matched business purchase.</x:v>
      </x:c>
      <x:c r="M597" s="9" t="str">
        <x:v>kkdvpy</x:v>
      </x:c>
    </x:row>
    <x:row r="598" ht="15" hidden="0" customHeight="1">
      <x:c r="A598" s="9" t="str">
        <x:v>Payments basis</x:v>
      </x:c>
      <x:c r="B598" s="9" t="str">
        <x:v>1 Feb-31 Jul 2026</x:v>
      </x:c>
      <x:c r="C598" s="10" t="n">
        <x:v>46230</x:v>
      </x:c>
      <x:c r="D598" s="9" t="str">
        <x:v>Sale</x:v>
      </x:c>
      <x:c r="E598" s="9" t="str">
        <x:v>BNZ + TradePilot match</x:v>
      </x:c>
      <x:c r="F598" s="9" t="str">
        <x:v>The NN Trust · Foreman · inv Q052 D</x:v>
      </x:c>
      <x:c r="G598" s="11" t="n">
        <x:v>518.36</x:v>
      </x:c>
      <x:c r="H598" s="11" t="n">
        <x:v>67.61</x:v>
      </x:c>
      <x:c r="I598" s="9" t="str">
        <x:v>Y</x:v>
      </x:c>
      <x:c r="J598" s="9" t="str">
        <x:v>High</x:v>
      </x:c>
      <x:c r="K598" s="9" t="str">
        <x:v>Bank receipt matched to TradePilot</x:v>
      </x:c>
      <x:c r="L598" s="9" t="str">
        <x:v>Customer receipt; exact bank amount used.</x:v>
      </x:c>
      <x:c r="M598" s="9" t="str">
        <x:v>f5plvm</x:v>
      </x:c>
    </x:row>
    <x:row r="599" ht="15" hidden="0" customHeight="1">
      <x:c r="A599" s="9" t="str">
        <x:v>Payments basis</x:v>
      </x:c>
      <x:c r="B599" s="9" t="str">
        <x:v>1 Feb-31 Jul 2026</x:v>
      </x:c>
      <x:c r="C599" s="10" t="n">
        <x:v>46231</x:v>
      </x:c>
      <x:c r="D599" s="9" t="str">
        <x:v>Purchase</x:v>
      </x:c>
      <x:c r="E599" s="9" t="str">
        <x:v>BNZ + TradePilot match</x:v>
      </x:c>
      <x:c r="F599" s="9" t="str">
        <x:v>PAPER PLUS WANAKA</x:v>
      </x:c>
      <x:c r="G599" s="11" t="n">
        <x:v>46.95</x:v>
      </x:c>
      <x:c r="H599" s="11" t="n">
        <x:v>6.12</x:v>
      </x:c>
      <x:c r="I599" s="9" t="str">
        <x:v>Y</x:v>
      </x:c>
      <x:c r="J599" s="9" t="str">
        <x:v>High</x:v>
      </x:c>
      <x:c r="K599" s="9" t="str">
        <x:v>Bank payment matched to GST-coded TradePilot entry</x:v>
      </x:c>
      <x:c r="L599" s="9" t="str">
        <x:v>Matched business purchase.</x:v>
      </x:c>
      <x:c r="M599" s="9" t="str">
        <x:v>38lex6</x:v>
      </x:c>
    </x:row>
    <x:row r="600" ht="15" hidden="0" customHeight="1">
      <x:c r="A600" s="9" t="str">
        <x:v>Payments basis</x:v>
      </x:c>
      <x:c r="B600" s="9" t="str">
        <x:v>1 Feb-31 Jul 2026</x:v>
      </x:c>
      <x:c r="C600" s="10" t="n">
        <x:v>46233</x:v>
      </x:c>
      <x:c r="D600" s="9" t="str">
        <x:v>Purchase</x:v>
      </x:c>
      <x:c r="E600" s="9" t="str">
        <x:v>BNZ + TradePilot match</x:v>
      </x:c>
      <x:c r="F600" s="9" t="str">
        <x:v>ANTHROPIC* CLAUDE SU</x:v>
      </x:c>
      <x:c r="G600" s="11" t="n">
        <x:v>200</x:v>
      </x:c>
      <x:c r="H600" s="11" t="n">
        <x:v>26.09</x:v>
      </x:c>
      <x:c r="I600" s="9" t="str">
        <x:v>Y</x:v>
      </x:c>
      <x:c r="J600" s="9" t="str">
        <x:v>High</x:v>
      </x:c>
      <x:c r="K600" s="9" t="str">
        <x:v>Bank payment matched to GST-coded TradePilot entry</x:v>
      </x:c>
      <x:c r="L600" s="9" t="str">
        <x:v>Matched business purchase.</x:v>
      </x:c>
      <x:c r="M600" s="9" t="str">
        <x:v>l7m7te</x:v>
      </x:c>
    </x:row>
    <x:row r="601" ht="15" hidden="0" customHeight="1">
      <x:c r="A601" s="9" t="str">
        <x:v>Payments basis</x:v>
      </x:c>
      <x:c r="B601" s="9" t="str">
        <x:v>1 Feb-31 Jul 2026</x:v>
      </x:c>
      <x:c r="C601" s="10" t="n">
        <x:v>46233</x:v>
      </x:c>
      <x:c r="D601" s="9" t="str">
        <x:v>Purchase</x:v>
      </x:c>
      <x:c r="E601" s="9" t="str">
        <x:v>BNZ + TradePilot match</x:v>
      </x:c>
      <x:c r="F601" s="9" t="str">
        <x:v>NOEL LEEMING 3X WANA</x:v>
      </x:c>
      <x:c r="G601" s="11" t="n">
        <x:v>16.99</x:v>
      </x:c>
      <x:c r="H601" s="11" t="n">
        <x:v>2.22</x:v>
      </x:c>
      <x:c r="I601" s="9" t="str">
        <x:v>Y</x:v>
      </x:c>
      <x:c r="J601" s="9" t="str">
        <x:v>High</x:v>
      </x:c>
      <x:c r="K601" s="9" t="str">
        <x:v>Bank payment matched to GST-coded TradePilot entry</x:v>
      </x:c>
      <x:c r="L601" s="9" t="str">
        <x:v>Matched business purchase.</x:v>
      </x:c>
      <x:c r="M601" s="9" t="str">
        <x:v>or1vdn</x:v>
      </x:c>
    </x:row>
    <x:row r="602" ht="15" hidden="0" customHeight="1">
      <x:c r="A602" s="9" t="str">
        <x:v>Payments basis</x:v>
      </x:c>
      <x:c r="B602" s="9" t="str">
        <x:v>1 Feb-31 Jul 2026</x:v>
      </x:c>
      <x:c r="C602" s="10" t="n">
        <x:v>46233</x:v>
      </x:c>
      <x:c r="D602" s="9" t="str">
        <x:v>Purchase</x:v>
      </x:c>
      <x:c r="E602" s="9" t="str">
        <x:v>BNZ + TradePilot match</x:v>
      </x:c>
      <x:c r="F602" s="9" t="str">
        <x:v>GODADDY*#4149821829</x:v>
      </x:c>
      <x:c r="G602" s="11" t="n">
        <x:v>45.99</x:v>
      </x:c>
      <x:c r="H602" s="11" t="n">
        <x:v>6</x:v>
      </x:c>
      <x:c r="I602" s="9" t="str">
        <x:v>Y</x:v>
      </x:c>
      <x:c r="J602" s="9" t="str">
        <x:v>High</x:v>
      </x:c>
      <x:c r="K602" s="9" t="str">
        <x:v>Bank payment matched to GST-coded TradePilot entry</x:v>
      </x:c>
      <x:c r="L602" s="9" t="str">
        <x:v>Matched business purchase.</x:v>
      </x:c>
      <x:c r="M602" s="9" t="str">
        <x:v>7asofm</x:v>
      </x:c>
    </x:row>
  </x:sheetData>
  <x:mergeCells>
    <x:mergeCell ref="A1:M1"/>
  </x:mergeCells>
  <x:conditionalFormatting sqref="I3:I602">
    <x:cfRule type="expression" dxfId="0" priority="1">
      <x:formula>I3="N"</x:formula>
    </x:cfRule>
  </x:conditionalFormatting>
  <x:conditionalFormatting sqref="J3:J602">
    <x:cfRule type="expression" dxfId="1" priority="2">
      <x:formula>J3="Review"</x:formula>
    </x:cfRule>
  </x:conditionalFormatting>
  <x:dataValidations count="1">
    <x:dataValidation type="list" sqref="I3:I602">
      <x:formula1>"Y,N"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.33000183105469" hidden="0" customWidth="1"/>
    <x:col min="2" max="2" width="58.33000183105469" hidden="0" customWidth="1"/>
    <x:col min="3" max="3" width="26" hidden="0" customWidth="1"/>
    <x:col min="4" max="4" width="26" hidden="0" customWidth="1"/>
    <x:col min="5" max="5" width="58.33000183105469" hidden="0" customWidth="1"/>
    <x:col min="6" max="6" width="58.33000183105469" hidden="0" customWidth="1"/>
    <x:col min="7" max="7" width="58.33000183105469" hidden="0" customWidth="1"/>
    <x:col min="8" max="8" width="58.33000183105469" hidden="0" customWidth="1"/>
    <x:col min="9" max="9" width="58.33000183105469" hidden="0" customWidth="1"/>
    <x:col min="10" max="10" width="34" hidden="0" customWidth="1"/>
    <x:col min="11" max="11" width="34" hidden="0" customWidth="1"/>
    <x:col min="12" max="12" width="58.33000183105469" hidden="0" customWidth="1"/>
    <x:col min="13" max="13" width="58.33000183105469" hidden="0" customWidth="1"/>
    <x:col min="14" max="14" width="58.33000183105469" hidden="0" customWidth="1"/>
  </x:cols>
  <x:sheetData>
    <x:row r="1" ht="32" customHeight="1">
      <x:c r="A1" s="3" t="str">
        <x:v>BNZ transaction review · exact bank amounts</x:v>
      </x:c>
      <x:c r="B1" s="3" t="str">
        <x:v>BNZ transaction review · exact bank amounts</x:v>
      </x:c>
      <x:c r="C1" s="3" t="str">
        <x:v>BNZ transaction review · exact bank amounts</x:v>
      </x:c>
      <x:c r="D1" s="3" t="str">
        <x:v>BNZ transaction review · exact bank amounts</x:v>
      </x:c>
      <x:c r="E1" s="3" t="str">
        <x:v>BNZ transaction review · exact bank amounts</x:v>
      </x:c>
      <x:c r="F1" s="3" t="str">
        <x:v>BNZ transaction review · exact bank amounts</x:v>
      </x:c>
      <x:c r="G1" s="3" t="str">
        <x:v>BNZ transaction review · exact bank amounts</x:v>
      </x:c>
      <x:c r="H1" s="3" t="str">
        <x:v>BNZ transaction review · exact bank amounts</x:v>
      </x:c>
      <x:c r="I1" s="3" t="str">
        <x:v>BNZ transaction review · exact bank amounts</x:v>
      </x:c>
      <x:c r="J1" s="3" t="str">
        <x:v>BNZ transaction review · exact bank amounts</x:v>
      </x:c>
      <x:c r="K1" s="3" t="str">
        <x:v>BNZ transaction review · exact bank amounts</x:v>
      </x:c>
      <x:c r="L1" s="3" t="str">
        <x:v>BNZ transaction review · exact bank amounts</x:v>
      </x:c>
      <x:c r="M1" s="3" t="str">
        <x:v>BNZ transaction review · exact bank amounts</x:v>
      </x:c>
      <x:c r="N1" s="3" t="str">
        <x:v>BNZ transaction review · exact bank amounts</x:v>
      </x:c>
    </x:row>
    <x:row r="2">
      <x:c r="A2" s="7" t="str">
        <x:v>Date</x:v>
      </x:c>
      <x:c r="B2" s="7" t="str">
        <x:v>Amount</x:v>
      </x:c>
      <x:c r="C2" s="7" t="str">
        <x:v>Payee</x:v>
      </x:c>
      <x:c r="D2" s="7" t="str">
        <x:v>Particulars</x:v>
      </x:c>
      <x:c r="E2" s="7" t="str">
        <x:v>Code</x:v>
      </x:c>
      <x:c r="F2" s="7" t="str">
        <x:v>Reference</x:v>
      </x:c>
      <x:c r="G2" s="7" t="str">
        <x:v>Type</x:v>
      </x:c>
      <x:c r="H2" s="7" t="str">
        <x:v>Other account</x:v>
      </x:c>
      <x:c r="I2" s="7" t="str">
        <x:v>TradePilot status</x:v>
      </x:c>
      <x:c r="J2" s="7" t="str">
        <x:v>GST treatment</x:v>
      </x:c>
      <x:c r="K2" s="7" t="str">
        <x:v>Review note</x:v>
      </x:c>
      <x:c r="L2" s="7" t="str">
        <x:v>Fingerprint</x:v>
      </x:c>
      <x:c r="M2" s="7" t="str">
        <x:v>Source range</x:v>
      </x:c>
      <x:c r="N2" s="7" t="str">
        <x:v>Included in ledger?</x:v>
      </x:c>
    </x:row>
    <x:row r="3">
      <x:c r="A3" s="10" t="n">
        <x:v>46040.958333333336</x:v>
      </x:c>
      <x:c r="B3" s="11" t="n">
        <x:v>-89</x:v>
      </x:c>
      <x:c r="C3" s="9" t="str">
        <x:v>THE WAREHOUSE 212 WA</x:v>
      </x:c>
      <x:c r="D3" s="9" t="str">
        <x:v>6032</x:v>
      </x:c>
      <x:c r="E3" s="9" t="str">
        <x:v>WANAKA</x:v>
      </x:c>
      <x:c r="F3" s="9" t="str">
        <x:v>434667191312</x:v>
      </x:c>
      <x:c r="G3" s="9" t="str">
        <x:v>POS</x:v>
      </x:c>
      <x:c r="H3" s="9" t="str">
        <x:v>---</x:v>
      </x:c>
      <x:c r="I3" s="9" t="str">
        <x:v>Not imported</x:v>
      </x:c>
      <x:c r="J3" s="9" t="str">
        <x:v>GST purchase included</x:v>
      </x:c>
      <x:c r="K3" s="9" t="str">
        <x:v>Warehouse purchase treated as job materials/tools; retain the TradePilot description.</x:v>
      </x:c>
      <x:c r="L3" s="9" t="str">
        <x:v>hrxxvv</x:v>
      </x:c>
      <x:c r="M3" s="9" t="str">
        <x:v>BNZ only</x:v>
      </x:c>
      <x:c r="N3" s="9" t="str">
        <x:v>See ledger</x:v>
      </x:c>
    </x:row>
    <x:row r="4">
      <x:c r="A4" s="10" t="n">
        <x:v>46040.958333333336</x:v>
      </x:c>
      <x:c r="B4" s="11" t="n">
        <x:v>-53.94</x:v>
      </x:c>
      <x:c r="C4" s="9" t="str">
        <x:v>New World Three Park</x:v>
      </x:c>
      <x:c r="D4" s="9" t="str">
        <x:v>6032</x:v>
      </x:c>
      <x:c r="E4" s="9" t="str">
        <x:v>Wanaka</x:v>
      </x:c>
      <x:c r="F4" s="9" t="str">
        <x:v>420549191207</x:v>
      </x:c>
      <x:c r="G4" s="9" t="str">
        <x:v>POS</x:v>
      </x:c>
      <x:c r="H4" s="9" t="str">
        <x:v>---</x:v>
      </x:c>
      <x:c r="I4" s="9" t="str">
        <x:v>Not imported</x:v>
      </x:c>
      <x:c r="J4" s="9" t="str">
        <x:v>Excluded</x:v>
      </x:c>
      <x:c r="K4" s="9" t="str">
        <x:v>Personal, transfer, tax, cash withdrawal, food or entertainment; no GST claim.</x:v>
      </x:c>
      <x:c r="L4" s="9" t="str">
        <x:v>7swp19</x:v>
      </x:c>
      <x:c r="M4" s="9" t="str">
        <x:v>BNZ only</x:v>
      </x:c>
      <x:c r="N4" s="9" t="str">
        <x:v>No</x:v>
      </x:c>
    </x:row>
    <x:row r="5">
      <x:c r="A5" s="10" t="n">
        <x:v>46040.958333333336</x:v>
      </x:c>
      <x:c r="B5" s="11" t="n">
        <x:v>200</x:v>
      </x:c>
      <x:c r="C5" s="9" t="str">
        <x:v>YouMoney</x:v>
      </x:c>
      <x:c r="D5" s="9" t="str"/>
      <x:c r="E5" s="9" t="str"/>
      <x:c r="F5" s="9" t="str">
        <x:v>INTERNET XFR</x:v>
      </x:c>
      <x:c r="G5" s="9" t="str">
        <x:v>FT</x:v>
      </x:c>
      <x:c r="H5" s="9" t="str">
        <x:v>02-0568-0080488-83</x:v>
      </x:c>
      <x:c r="I5" s="9" t="str">
        <x:v>Not imported</x:v>
      </x:c>
      <x:c r="J5" s="9" t="str">
        <x:v>Excluded transfer/personal</x:v>
      </x:c>
      <x:c r="K5" s="9" t="str"/>
      <x:c r="L5" s="9" t="str">
        <x:v>j41vj6</x:v>
      </x:c>
      <x:c r="M5" s="9" t="str">
        <x:v>BNZ only</x:v>
      </x:c>
      <x:c r="N5" s="9" t="str">
        <x:v>No</x:v>
      </x:c>
    </x:row>
    <x:row r="6">
      <x:c r="A6" s="10" t="n">
        <x:v>46040.958333333336</x:v>
      </x:c>
      <x:c r="B6" s="11" t="n">
        <x:v>-203.2</x:v>
      </x:c>
      <x:c r="C6" s="9" t="str">
        <x:v>Resene - Wanaka 087</x:v>
      </x:c>
      <x:c r="D6" s="9" t="str">
        <x:v>6032</x:v>
      </x:c>
      <x:c r="E6" s="9" t="str">
        <x:v>Wanaka</x:v>
      </x:c>
      <x:c r="F6" s="9" t="str">
        <x:v>420549191519</x:v>
      </x:c>
      <x:c r="G6" s="9" t="str">
        <x:v>POS</x:v>
      </x:c>
      <x:c r="H6" s="9" t="str">
        <x:v>---</x:v>
      </x:c>
      <x:c r="I6" s="9" t="str">
        <x:v>Not imported</x:v>
      </x:c>
      <x:c r="J6" s="9" t="str">
        <x:v>GST purchase included</x:v>
      </x:c>
      <x:c r="K6" s="9" t="str">
        <x:v>Business purchase.</x:v>
      </x:c>
      <x:c r="L6" s="9" t="str">
        <x:v>q4as50</x:v>
      </x:c>
      <x:c r="M6" s="9" t="str">
        <x:v>BNZ only</x:v>
      </x:c>
      <x:c r="N6" s="9" t="str">
        <x:v>See ledger</x:v>
      </x:c>
    </x:row>
    <x:row r="7">
      <x:c r="A7" s="10" t="n">
        <x:v>46040.958333333336</x:v>
      </x:c>
      <x:c r="B7" s="11" t="n">
        <x:v>-13.05</x:v>
      </x:c>
      <x:c r="C7" s="9" t="str">
        <x:v>BENONI CAFE</x:v>
      </x:c>
      <x:c r="D7" s="9" t="str">
        <x:v>6032</x:v>
      </x:c>
      <x:c r="E7" s="9" t="str">
        <x:v>VIENTIANE</x:v>
      </x:c>
      <x:c r="F7" s="9" t="str">
        <x:v>437733131624</x:v>
      </x:c>
      <x:c r="G7" s="9" t="str">
        <x:v>POS</x:v>
      </x:c>
      <x:c r="H7" s="9" t="str">
        <x:v>---</x:v>
      </x:c>
      <x:c r="I7" s="9" t="str">
        <x:v>Not imported</x:v>
      </x:c>
      <x:c r="J7" s="9" t="str">
        <x:v>Excluded</x:v>
      </x:c>
      <x:c r="K7" s="9" t="str">
        <x:v>Personal, transfer, tax, cash withdrawal, food or entertainment; no GST claim.</x:v>
      </x:c>
      <x:c r="L7" s="9" t="str">
        <x:v>njj8sp</x:v>
      </x:c>
      <x:c r="M7" s="9" t="str">
        <x:v>BNZ only</x:v>
      </x:c>
      <x:c r="N7" s="9" t="str">
        <x:v>No</x:v>
      </x:c>
    </x:row>
    <x:row r="8">
      <x:c r="A8" s="10" t="n">
        <x:v>46040.958333333336</x:v>
      </x:c>
      <x:c r="B8" s="11" t="n">
        <x:v>-10</x:v>
      </x:c>
      <x:c r="C8" s="9" t="str">
        <x:v>THE WAREHOUSE 212 WA</x:v>
      </x:c>
      <x:c r="D8" s="9" t="str">
        <x:v>6032</x:v>
      </x:c>
      <x:c r="E8" s="9" t="str">
        <x:v>WANAKA</x:v>
      </x:c>
      <x:c r="F8" s="9" t="str">
        <x:v>434667191240</x:v>
      </x:c>
      <x:c r="G8" s="9" t="str">
        <x:v>POS</x:v>
      </x:c>
      <x:c r="H8" s="9" t="str">
        <x:v>---</x:v>
      </x:c>
      <x:c r="I8" s="9" t="str">
        <x:v>Not imported</x:v>
      </x:c>
      <x:c r="J8" s="9" t="str">
        <x:v>GST purchase included</x:v>
      </x:c>
      <x:c r="K8" s="9" t="str">
        <x:v>Warehouse purchase treated as job materials/tools; retain the TradePilot description.</x:v>
      </x:c>
      <x:c r="L8" s="9" t="str">
        <x:v>k119mj</x:v>
      </x:c>
      <x:c r="M8" s="9" t="str">
        <x:v>BNZ only</x:v>
      </x:c>
      <x:c r="N8" s="9" t="str">
        <x:v>See ledger</x:v>
      </x:c>
    </x:row>
    <x:row r="9">
      <x:c r="A9" s="10" t="n">
        <x:v>46040.958333333336</x:v>
      </x:c>
      <x:c r="B9" s="11" t="n">
        <x:v>-24</x:v>
      </x:c>
      <x:c r="C9" s="9" t="str">
        <x:v>THE WAREHOUSE 212 WA</x:v>
      </x:c>
      <x:c r="D9" s="9" t="str">
        <x:v>6032</x:v>
      </x:c>
      <x:c r="E9" s="9" t="str">
        <x:v>WANAKA</x:v>
      </x:c>
      <x:c r="F9" s="9" t="str">
        <x:v>434667191241</x:v>
      </x:c>
      <x:c r="G9" s="9" t="str">
        <x:v>POS</x:v>
      </x:c>
      <x:c r="H9" s="9" t="str">
        <x:v>---</x:v>
      </x:c>
      <x:c r="I9" s="9" t="str">
        <x:v>Not imported</x:v>
      </x:c>
      <x:c r="J9" s="9" t="str">
        <x:v>GST purchase included</x:v>
      </x:c>
      <x:c r="K9" s="9" t="str">
        <x:v>Warehouse purchase treated as job materials/tools; retain the TradePilot description.</x:v>
      </x:c>
      <x:c r="L9" s="9" t="str">
        <x:v>ntp4yp</x:v>
      </x:c>
      <x:c r="M9" s="9" t="str">
        <x:v>BNZ only</x:v>
      </x:c>
      <x:c r="N9" s="9" t="str">
        <x:v>See ledger</x:v>
      </x:c>
    </x:row>
    <x:row r="10">
      <x:c r="A10" s="10" t="n">
        <x:v>46040.958333333336</x:v>
      </x:c>
      <x:c r="B10" s="11" t="n">
        <x:v>637.1</x:v>
      </x:c>
      <x:c r="C10" s="9" t="str">
        <x:v>CHIRNSIDE C T</x:v>
      </x:c>
      <x:c r="D10" s="9" t="str"/>
      <x:c r="E10" s="9" t="str">
        <x:v>No</x:v>
      </x:c>
      <x:c r="F10" s="9" t="str">
        <x:v>Inv Numb</x:v>
      </x:c>
      <x:c r="G10" s="9" t="str">
        <x:v>BP</x:v>
      </x:c>
      <x:c r="H10" s="9" t="str">
        <x:v>02-0912-0346493-10</x:v>
      </x:c>
      <x:c r="I10" s="9" t="str">
        <x:v>Not imported</x:v>
      </x:c>
      <x:c r="J10" s="9" t="str">
        <x:v>Taxable customer receipt</x:v>
      </x:c>
      <x:c r="K10" s="9" t="str"/>
      <x:c r="L10" s="9" t="str">
        <x:v>skvcrm</x:v>
      </x:c>
      <x:c r="M10" s="9" t="str">
        <x:v>BNZ only</x:v>
      </x:c>
      <x:c r="N10" s="9" t="str">
        <x:v>See ledger</x:v>
      </x:c>
    </x:row>
    <x:row r="11">
      <x:c r="A11" s="10" t="n">
        <x:v>46041.958333333336</x:v>
      </x:c>
      <x:c r="B11" s="11" t="n">
        <x:v>-196.98</x:v>
      </x:c>
      <x:c r="C11" s="9" t="str">
        <x:v>MITRE 10 MEGA WANAKA</x:v>
      </x:c>
      <x:c r="D11" s="9" t="str">
        <x:v>6032</x:v>
      </x:c>
      <x:c r="E11" s="9" t="str">
        <x:v>WANAKA</x:v>
      </x:c>
      <x:c r="F11" s="9" t="str">
        <x:v>434667201326</x:v>
      </x:c>
      <x:c r="G11" s="9" t="str">
        <x:v>POS</x:v>
      </x:c>
      <x:c r="H11" s="9" t="str">
        <x:v>---</x:v>
      </x:c>
      <x:c r="I11" s="9" t="str">
        <x:v>Not imported</x:v>
      </x:c>
      <x:c r="J11" s="9" t="str">
        <x:v>GST purchase included</x:v>
      </x:c>
      <x:c r="K11" s="9" t="str">
        <x:v>Business purchase.</x:v>
      </x:c>
      <x:c r="L11" s="9" t="str">
        <x:v>m04pn2</x:v>
      </x:c>
      <x:c r="M11" s="9" t="str">
        <x:v>BNZ only</x:v>
      </x:c>
      <x:c r="N11" s="9" t="str">
        <x:v>See ledger</x:v>
      </x:c>
    </x:row>
    <x:row r="12">
      <x:c r="A12" s="10" t="n">
        <x:v>46041.958333333336</x:v>
      </x:c>
      <x:c r="B12" s="11" t="n">
        <x:v>-10.2</x:v>
      </x:c>
      <x:c r="C12" s="9" t="str">
        <x:v>COLUMBUSCOFFEEWANAKA</x:v>
      </x:c>
      <x:c r="D12" s="9" t="str">
        <x:v>6032</x:v>
      </x:c>
      <x:c r="E12" s="9" t="str">
        <x:v>WANAKA</x:v>
      </x:c>
      <x:c r="F12" s="9" t="str">
        <x:v>434667201329</x:v>
      </x:c>
      <x:c r="G12" s="9" t="str">
        <x:v>POS</x:v>
      </x:c>
      <x:c r="H12" s="9" t="str">
        <x:v>---</x:v>
      </x:c>
      <x:c r="I12" s="9" t="str">
        <x:v>Not imported</x:v>
      </x:c>
      <x:c r="J12" s="9" t="str">
        <x:v>Excluded</x:v>
      </x:c>
      <x:c r="K12" s="9" t="str">
        <x:v>Personal, transfer, tax, cash withdrawal, food or entertainment; no GST claim.</x:v>
      </x:c>
      <x:c r="L12" s="9" t="str">
        <x:v>fxq4ih</x:v>
      </x:c>
      <x:c r="M12" s="9" t="str">
        <x:v>BNZ only</x:v>
      </x:c>
      <x:c r="N12" s="9" t="str">
        <x:v>No</x:v>
      </x:c>
    </x:row>
    <x:row r="13">
      <x:c r="A13" s="10" t="n">
        <x:v>46041.958333333336</x:v>
      </x:c>
      <x:c r="B13" s="11" t="n">
        <x:v>-17.9</x:v>
      </x:c>
      <x:c r="C13" s="9" t="str">
        <x:v>New World Wanaka</x:v>
      </x:c>
      <x:c r="D13" s="9" t="str">
        <x:v>6032</x:v>
      </x:c>
      <x:c r="E13" s="9" t="str">
        <x:v>Wanaka</x:v>
      </x:c>
      <x:c r="F13" s="9" t="str">
        <x:v>420549201134</x:v>
      </x:c>
      <x:c r="G13" s="9" t="str">
        <x:v>POS</x:v>
      </x:c>
      <x:c r="H13" s="9" t="str">
        <x:v>---</x:v>
      </x:c>
      <x:c r="I13" s="9" t="str">
        <x:v>Not imported</x:v>
      </x:c>
      <x:c r="J13" s="9" t="str">
        <x:v>Excluded</x:v>
      </x:c>
      <x:c r="K13" s="9" t="str">
        <x:v>Personal, transfer, tax, cash withdrawal, food or entertainment; no GST claim.</x:v>
      </x:c>
      <x:c r="L13" s="9" t="str">
        <x:v>8aafff</x:v>
      </x:c>
      <x:c r="M13" s="9" t="str">
        <x:v>BNZ only</x:v>
      </x:c>
      <x:c r="N13" s="9" t="str">
        <x:v>No</x:v>
      </x:c>
    </x:row>
    <x:row r="14">
      <x:c r="A14" s="10" t="n">
        <x:v>46041.958333333336</x:v>
      </x:c>
      <x:c r="B14" s="11" t="n">
        <x:v>-176.97</x:v>
      </x:c>
      <x:c r="C14" s="9" t="str">
        <x:v>MITRE 10 MEGA WANAKA</x:v>
      </x:c>
      <x:c r="D14" s="9" t="str">
        <x:v>6032</x:v>
      </x:c>
      <x:c r="E14" s="9" t="str">
        <x:v>WANAKA</x:v>
      </x:c>
      <x:c r="F14" s="9" t="str">
        <x:v>434667201241</x:v>
      </x:c>
      <x:c r="G14" s="9" t="str">
        <x:v>POS</x:v>
      </x:c>
      <x:c r="H14" s="9" t="str">
        <x:v>---</x:v>
      </x:c>
      <x:c r="I14" s="9" t="str">
        <x:v>Not imported</x:v>
      </x:c>
      <x:c r="J14" s="9" t="str">
        <x:v>GST purchase included</x:v>
      </x:c>
      <x:c r="K14" s="9" t="str">
        <x:v>Business purchase.</x:v>
      </x:c>
      <x:c r="L14" s="9" t="str">
        <x:v>iwr9yf</x:v>
      </x:c>
      <x:c r="M14" s="9" t="str">
        <x:v>BNZ only</x:v>
      </x:c>
      <x:c r="N14" s="9" t="str">
        <x:v>See ledger</x:v>
      </x:c>
    </x:row>
    <x:row r="15">
      <x:c r="A15" s="10" t="n">
        <x:v>46041.958333333336</x:v>
      </x:c>
      <x:c r="B15" s="11" t="n">
        <x:v>-59.69</x:v>
      </x:c>
      <x:c r="C15" s="9" t="str">
        <x:v>New World Three Park</x:v>
      </x:c>
      <x:c r="D15" s="9" t="str">
        <x:v>6032</x:v>
      </x:c>
      <x:c r="E15" s="9" t="str">
        <x:v>Wanaka</x:v>
      </x:c>
      <x:c r="F15" s="9" t="str">
        <x:v>420549201745</x:v>
      </x:c>
      <x:c r="G15" s="9" t="str">
        <x:v>POS</x:v>
      </x:c>
      <x:c r="H15" s="9" t="str">
        <x:v>---</x:v>
      </x:c>
      <x:c r="I15" s="9" t="str">
        <x:v>Not imported</x:v>
      </x:c>
      <x:c r="J15" s="9" t="str">
        <x:v>Excluded</x:v>
      </x:c>
      <x:c r="K15" s="9" t="str">
        <x:v>Personal, transfer, tax, cash withdrawal, food or entertainment; no GST claim.</x:v>
      </x:c>
      <x:c r="L15" s="9" t="str">
        <x:v>vmnroe</x:v>
      </x:c>
      <x:c r="M15" s="9" t="str">
        <x:v>BNZ only</x:v>
      </x:c>
      <x:c r="N15" s="9" t="str">
        <x:v>No</x:v>
      </x:c>
    </x:row>
    <x:row r="16">
      <x:c r="A16" s="10" t="n">
        <x:v>46042.958333333336</x:v>
      </x:c>
      <x:c r="B16" s="11" t="n">
        <x:v>-41.11</x:v>
      </x:c>
      <x:c r="C16" s="9" t="str">
        <x:v>Resene - Wanaka 087</x:v>
      </x:c>
      <x:c r="D16" s="9" t="str">
        <x:v>6032</x:v>
      </x:c>
      <x:c r="E16" s="9" t="str">
        <x:v>Wanaka</x:v>
      </x:c>
      <x:c r="F16" s="9" t="str">
        <x:v>420549211821</x:v>
      </x:c>
      <x:c r="G16" s="9" t="str">
        <x:v>POS</x:v>
      </x:c>
      <x:c r="H16" s="9" t="str">
        <x:v>---</x:v>
      </x:c>
      <x:c r="I16" s="9" t="str">
        <x:v>Not imported</x:v>
      </x:c>
      <x:c r="J16" s="9" t="str">
        <x:v>GST purchase included</x:v>
      </x:c>
      <x:c r="K16" s="9" t="str">
        <x:v>Business purchase.</x:v>
      </x:c>
      <x:c r="L16" s="9" t="str">
        <x:v>xr7rny</x:v>
      </x:c>
      <x:c r="M16" s="9" t="str">
        <x:v>BNZ only</x:v>
      </x:c>
      <x:c r="N16" s="9" t="str">
        <x:v>See ledger</x:v>
      </x:c>
    </x:row>
    <x:row r="17">
      <x:c r="A17" s="10" t="n">
        <x:v>46042.958333333336</x:v>
      </x:c>
      <x:c r="B17" s="11" t="n">
        <x:v>1250</x:v>
      </x:c>
      <x:c r="C17" s="9" t="str">
        <x:v>YouMoney</x:v>
      </x:c>
      <x:c r="D17" s="9" t="str"/>
      <x:c r="E17" s="9" t="str"/>
      <x:c r="F17" s="9" t="str">
        <x:v>INTERNET XFR</x:v>
      </x:c>
      <x:c r="G17" s="9" t="str">
        <x:v>FT</x:v>
      </x:c>
      <x:c r="H17" s="9" t="str">
        <x:v>02-0568-0080488-83</x:v>
      </x:c>
      <x:c r="I17" s="9" t="str">
        <x:v>Not imported</x:v>
      </x:c>
      <x:c r="J17" s="9" t="str">
        <x:v>Excluded transfer/personal</x:v>
      </x:c>
      <x:c r="K17" s="9" t="str"/>
      <x:c r="L17" s="9" t="str">
        <x:v>o76h75</x:v>
      </x:c>
      <x:c r="M17" s="9" t="str">
        <x:v>BNZ only</x:v>
      </x:c>
      <x:c r="N17" s="9" t="str">
        <x:v>No</x:v>
      </x:c>
    </x:row>
    <x:row r="18">
      <x:c r="A18" s="10" t="n">
        <x:v>46042.958333333336</x:v>
      </x:c>
      <x:c r="B18" s="11" t="n">
        <x:v>-1250</x:v>
      </x:c>
      <x:c r="C18" s="9" t="str">
        <x:v>THE CASEY FAMILY TRU</x:v>
      </x:c>
      <x:c r="D18" s="9" t="str"/>
      <x:c r="E18" s="9" t="str"/>
      <x:c r="F18" s="9" t="str"/>
      <x:c r="G18" s="9" t="str">
        <x:v>DC</x:v>
      </x:c>
      <x:c r="H18" s="9" t="str">
        <x:v>06-0943-0135146-00</x:v>
      </x:c>
      <x:c r="I18" s="9" t="str">
        <x:v>Not imported</x:v>
      </x:c>
      <x:c r="J18" s="9" t="str">
        <x:v>Excluded</x:v>
      </x:c>
      <x:c r="K18" s="9" t="str">
        <x:v>Personal, transfer, tax, cash withdrawal, food or entertainment; no GST claim.</x:v>
      </x:c>
      <x:c r="L18" s="9" t="str">
        <x:v>8atgst</x:v>
      </x:c>
      <x:c r="M18" s="9" t="str">
        <x:v>BNZ only</x:v>
      </x:c>
      <x:c r="N18" s="9" t="str">
        <x:v>No</x:v>
      </x:c>
    </x:row>
    <x:row r="19">
      <x:c r="A19" s="10" t="n">
        <x:v>46043.958333333336</x:v>
      </x:c>
      <x:c r="B19" s="11" t="n">
        <x:v>1656</x:v>
      </x:c>
      <x:c r="C19" s="9" t="str">
        <x:v>JACKSON K B</x:v>
      </x:c>
      <x:c r="D19" s="9" t="str">
        <x:v>P Jackson</x:v>
      </x:c>
      <x:c r="E19" s="9" t="str">
        <x:v>21 Jan 26</x:v>
      </x:c>
      <x:c r="F19" s="9" t="str">
        <x:v>Deposit</x:v>
      </x:c>
      <x:c r="G19" s="9" t="str">
        <x:v>BP</x:v>
      </x:c>
      <x:c r="H19" s="9" t="str">
        <x:v>01-0867-0089036-00</x:v>
      </x:c>
      <x:c r="I19" s="9" t="str">
        <x:v>Not imported</x:v>
      </x:c>
      <x:c r="J19" s="9" t="str">
        <x:v>Taxable customer receipt</x:v>
      </x:c>
      <x:c r="K19" s="9" t="str"/>
      <x:c r="L19" s="9" t="str">
        <x:v>mwixff</x:v>
      </x:c>
      <x:c r="M19" s="9" t="str">
        <x:v>BNZ only</x:v>
      </x:c>
      <x:c r="N19" s="9" t="str">
        <x:v>See ledger</x:v>
      </x:c>
    </x:row>
    <x:row r="20">
      <x:c r="A20" s="10" t="n">
        <x:v>46043.958333333336</x:v>
      </x:c>
      <x:c r="B20" s="11" t="n">
        <x:v>-95.48</x:v>
      </x:c>
      <x:c r="C20" s="9" t="str">
        <x:v>New World Wanaka</x:v>
      </x:c>
      <x:c r="D20" s="9" t="str">
        <x:v>5996</x:v>
      </x:c>
      <x:c r="E20" s="9" t="str">
        <x:v>Wanaka</x:v>
      </x:c>
      <x:c r="F20" s="9" t="str">
        <x:v>420549221322</x:v>
      </x:c>
      <x:c r="G20" s="9" t="str">
        <x:v>POS</x:v>
      </x:c>
      <x:c r="H20" s="9" t="str">
        <x:v>---</x:v>
      </x:c>
      <x:c r="I20" s="9" t="str">
        <x:v>Not imported</x:v>
      </x:c>
      <x:c r="J20" s="9" t="str">
        <x:v>Excluded</x:v>
      </x:c>
      <x:c r="K20" s="9" t="str">
        <x:v>Personal, transfer, tax, cash withdrawal, food or entertainment; no GST claim.</x:v>
      </x:c>
      <x:c r="L20" s="9" t="str">
        <x:v>y9ahkp</x:v>
      </x:c>
      <x:c r="M20" s="9" t="str">
        <x:v>BNZ only</x:v>
      </x:c>
      <x:c r="N20" s="9" t="str">
        <x:v>No</x:v>
      </x:c>
    </x:row>
    <x:row r="21">
      <x:c r="A21" s="10" t="n">
        <x:v>46044.958333333336</x:v>
      </x:c>
      <x:c r="B21" s="11" t="n">
        <x:v>-84.77</x:v>
      </x:c>
      <x:c r="C21" s="9" t="str">
        <x:v>MITRE 10 MEGA WANAKA</x:v>
      </x:c>
      <x:c r="D21" s="9" t="str">
        <x:v>5996</x:v>
      </x:c>
      <x:c r="E21" s="9" t="str">
        <x:v>WANAKA</x:v>
      </x:c>
      <x:c r="F21" s="9" t="str">
        <x:v>434667231412</x:v>
      </x:c>
      <x:c r="G21" s="9" t="str">
        <x:v>POS</x:v>
      </x:c>
      <x:c r="H21" s="9" t="str">
        <x:v>---</x:v>
      </x:c>
      <x:c r="I21" s="9" t="str">
        <x:v>Not imported</x:v>
      </x:c>
      <x:c r="J21" s="9" t="str">
        <x:v>GST purchase included</x:v>
      </x:c>
      <x:c r="K21" s="9" t="str">
        <x:v>Business purchase.</x:v>
      </x:c>
      <x:c r="L21" s="9" t="str">
        <x:v>c3hv2j</x:v>
      </x:c>
      <x:c r="M21" s="9" t="str">
        <x:v>BNZ only</x:v>
      </x:c>
      <x:c r="N21" s="9" t="str">
        <x:v>See ledger</x:v>
      </x:c>
    </x:row>
    <x:row r="22">
      <x:c r="A22" s="10" t="n">
        <x:v>46044.958333333336</x:v>
      </x:c>
      <x:c r="B22" s="11" t="n">
        <x:v>-2</x:v>
      </x:c>
      <x:c r="C22" s="9" t="str">
        <x:v>THE WAREHOUSE 212 WA</x:v>
      </x:c>
      <x:c r="D22" s="9" t="str">
        <x:v>5996</x:v>
      </x:c>
      <x:c r="E22" s="9" t="str">
        <x:v>WANAKA</x:v>
      </x:c>
      <x:c r="F22" s="9" t="str">
        <x:v>434667231413</x:v>
      </x:c>
      <x:c r="G22" s="9" t="str">
        <x:v>POS</x:v>
      </x:c>
      <x:c r="H22" s="9" t="str">
        <x:v>---</x:v>
      </x:c>
      <x:c r="I22" s="9" t="str">
        <x:v>Not imported</x:v>
      </x:c>
      <x:c r="J22" s="9" t="str">
        <x:v>GST purchase included</x:v>
      </x:c>
      <x:c r="K22" s="9" t="str">
        <x:v>Warehouse purchase treated as job materials/tools; retain the TradePilot description.</x:v>
      </x:c>
      <x:c r="L22" s="9" t="str">
        <x:v>kzm7m2</x:v>
      </x:c>
      <x:c r="M22" s="9" t="str">
        <x:v>BNZ only</x:v>
      </x:c>
      <x:c r="N22" s="9" t="str">
        <x:v>See ledger</x:v>
      </x:c>
    </x:row>
    <x:row r="23">
      <x:c r="A23" s="10" t="n">
        <x:v>46044.958333333336</x:v>
      </x:c>
      <x:c r="B23" s="11" t="n">
        <x:v>-33.66</x:v>
      </x:c>
      <x:c r="C23" s="9" t="str">
        <x:v>New World Three Park</x:v>
      </x:c>
      <x:c r="D23" s="9" t="str">
        <x:v>5996</x:v>
      </x:c>
      <x:c r="E23" s="9" t="str">
        <x:v>Wanaka</x:v>
      </x:c>
      <x:c r="F23" s="9" t="str">
        <x:v>420549231419</x:v>
      </x:c>
      <x:c r="G23" s="9" t="str">
        <x:v>POS</x:v>
      </x:c>
      <x:c r="H23" s="9" t="str">
        <x:v>---</x:v>
      </x:c>
      <x:c r="I23" s="9" t="str">
        <x:v>Not imported</x:v>
      </x:c>
      <x:c r="J23" s="9" t="str">
        <x:v>Excluded</x:v>
      </x:c>
      <x:c r="K23" s="9" t="str">
        <x:v>Personal, transfer, tax, cash withdrawal, food or entertainment; no GST claim.</x:v>
      </x:c>
      <x:c r="L23" s="9" t="str">
        <x:v>j1zrxv</x:v>
      </x:c>
      <x:c r="M23" s="9" t="str">
        <x:v>BNZ only</x:v>
      </x:c>
      <x:c r="N23" s="9" t="str">
        <x:v>No</x:v>
      </x:c>
    </x:row>
    <x:row r="24">
      <x:c r="A24" s="10" t="n">
        <x:v>46044.958333333336</x:v>
      </x:c>
      <x:c r="B24" s="11" t="n">
        <x:v>-67.08</x:v>
      </x:c>
      <x:c r="C24" s="9" t="str">
        <x:v>Resene - Wanaka 087</x:v>
      </x:c>
      <x:c r="D24" s="9" t="str">
        <x:v>5996</x:v>
      </x:c>
      <x:c r="E24" s="9" t="str">
        <x:v>Wanaka</x:v>
      </x:c>
      <x:c r="F24" s="9" t="str">
        <x:v>420549231538</x:v>
      </x:c>
      <x:c r="G24" s="9" t="str">
        <x:v>POS</x:v>
      </x:c>
      <x:c r="H24" s="9" t="str">
        <x:v>---</x:v>
      </x:c>
      <x:c r="I24" s="9" t="str">
        <x:v>Not imported</x:v>
      </x:c>
      <x:c r="J24" s="9" t="str">
        <x:v>GST purchase included</x:v>
      </x:c>
      <x:c r="K24" s="9" t="str">
        <x:v>Business purchase.</x:v>
      </x:c>
      <x:c r="L24" s="9" t="str">
        <x:v>gef0cl</x:v>
      </x:c>
      <x:c r="M24" s="9" t="str">
        <x:v>BNZ only</x:v>
      </x:c>
      <x:c r="N24" s="9" t="str">
        <x:v>See ledger</x:v>
      </x:c>
    </x:row>
    <x:row r="25">
      <x:c r="A25" s="10" t="n">
        <x:v>46044.958333333336</x:v>
      </x:c>
      <x:c r="B25" s="11" t="n">
        <x:v>-95</x:v>
      </x:c>
      <x:c r="C25" s="9" t="str">
        <x:v>A BLENDS</x:v>
      </x:c>
      <x:c r="D25" s="9" t="str">
        <x:v>5996</x:v>
      </x:c>
      <x:c r="E25" s="9" t="str">
        <x:v>MAUNU</x:v>
      </x:c>
      <x:c r="F25" s="9" t="str">
        <x:v>448131231553</x:v>
      </x:c>
      <x:c r="G25" s="9" t="str">
        <x:v>POS</x:v>
      </x:c>
      <x:c r="H25" s="9" t="str">
        <x:v>---</x:v>
      </x:c>
      <x:c r="I25" s="9" t="str">
        <x:v>Not imported</x:v>
      </x:c>
      <x:c r="J25" s="9" t="str">
        <x:v>Review / excluded by default</x:v>
      </x:c>
      <x:c r="K25" s="9" t="str">
        <x:v>Unclear merchant/purpose.</x:v>
      </x:c>
      <x:c r="L25" s="9" t="str">
        <x:v>ysl0hy</x:v>
      </x:c>
      <x:c r="M25" s="9" t="str">
        <x:v>BNZ only</x:v>
      </x:c>
      <x:c r="N25" s="9" t="str">
        <x:v>No</x:v>
      </x:c>
    </x:row>
    <x:row r="26">
      <x:c r="A26" s="10" t="n">
        <x:v>46045.958333333336</x:v>
      </x:c>
      <x:c r="B26" s="11" t="n">
        <x:v>-48.33</x:v>
      </x:c>
      <x:c r="C26" s="9" t="str">
        <x:v>THE WAREHOUSE 212 WA</x:v>
      </x:c>
      <x:c r="D26" s="9" t="str">
        <x:v>5996</x:v>
      </x:c>
      <x:c r="E26" s="9" t="str">
        <x:v>WANAKA</x:v>
      </x:c>
      <x:c r="F26" s="9" t="str">
        <x:v>434667241102</x:v>
      </x:c>
      <x:c r="G26" s="9" t="str">
        <x:v>POS</x:v>
      </x:c>
      <x:c r="H26" s="9" t="str">
        <x:v>---</x:v>
      </x:c>
      <x:c r="I26" s="9" t="str">
        <x:v>Not imported</x:v>
      </x:c>
      <x:c r="J26" s="9" t="str">
        <x:v>GST purchase included</x:v>
      </x:c>
      <x:c r="K26" s="9" t="str">
        <x:v>Warehouse purchase treated as job materials/tools; retain the TradePilot description.</x:v>
      </x:c>
      <x:c r="L26" s="9" t="str">
        <x:v>x6jqcz</x:v>
      </x:c>
      <x:c r="M26" s="9" t="str">
        <x:v>BNZ only</x:v>
      </x:c>
      <x:c r="N26" s="9" t="str">
        <x:v>See ledger</x:v>
      </x:c>
    </x:row>
    <x:row r="27">
      <x:c r="A27" s="10" t="n">
        <x:v>46045.958333333336</x:v>
      </x:c>
      <x:c r="B27" s="11" t="n">
        <x:v>-37.74</x:v>
      </x:c>
      <x:c r="C27" s="9" t="str">
        <x:v>New World Three Park</x:v>
      </x:c>
      <x:c r="D27" s="9" t="str">
        <x:v>5996</x:v>
      </x:c>
      <x:c r="E27" s="9" t="str">
        <x:v>Wanaka</x:v>
      </x:c>
      <x:c r="F27" s="9" t="str">
        <x:v>420549241126</x:v>
      </x:c>
      <x:c r="G27" s="9" t="str">
        <x:v>POS</x:v>
      </x:c>
      <x:c r="H27" s="9" t="str">
        <x:v>---</x:v>
      </x:c>
      <x:c r="I27" s="9" t="str">
        <x:v>Not imported</x:v>
      </x:c>
      <x:c r="J27" s="9" t="str">
        <x:v>Excluded</x:v>
      </x:c>
      <x:c r="K27" s="9" t="str">
        <x:v>Personal, transfer, tax, cash withdrawal, food or entertainment; no GST claim.</x:v>
      </x:c>
      <x:c r="L27" s="9" t="str">
        <x:v>vgijir</x:v>
      </x:c>
      <x:c r="M27" s="9" t="str">
        <x:v>BNZ only</x:v>
      </x:c>
      <x:c r="N27" s="9" t="str">
        <x:v>No</x:v>
      </x:c>
    </x:row>
    <x:row r="28">
      <x:c r="A28" s="10" t="n">
        <x:v>46045.958333333336</x:v>
      </x:c>
      <x:c r="B28" s="11" t="n">
        <x:v>-106.84</x:v>
      </x:c>
      <x:c r="C28" s="9" t="str">
        <x:v>MITRE 10 MEGA WANAKA</x:v>
      </x:c>
      <x:c r="D28" s="9" t="str">
        <x:v>5996</x:v>
      </x:c>
      <x:c r="E28" s="9" t="str">
        <x:v>WANAKA</x:v>
      </x:c>
      <x:c r="F28" s="9" t="str">
        <x:v>434667240949</x:v>
      </x:c>
      <x:c r="G28" s="9" t="str">
        <x:v>POS</x:v>
      </x:c>
      <x:c r="H28" s="9" t="str">
        <x:v>---</x:v>
      </x:c>
      <x:c r="I28" s="9" t="str">
        <x:v>Not imported</x:v>
      </x:c>
      <x:c r="J28" s="9" t="str">
        <x:v>GST purchase included</x:v>
      </x:c>
      <x:c r="K28" s="9" t="str">
        <x:v>Business purchase.</x:v>
      </x:c>
      <x:c r="L28" s="9" t="str">
        <x:v>5g2vcs</x:v>
      </x:c>
      <x:c r="M28" s="9" t="str">
        <x:v>BNZ only</x:v>
      </x:c>
      <x:c r="N28" s="9" t="str">
        <x:v>See ledger</x:v>
      </x:c>
    </x:row>
    <x:row r="29">
      <x:c r="A29" s="10" t="n">
        <x:v>46046.958333333336</x:v>
      </x:c>
      <x:c r="B29" s="11" t="n">
        <x:v>-272.17</x:v>
      </x:c>
      <x:c r="C29" s="9" t="str">
        <x:v>New World Three Park</x:v>
      </x:c>
      <x:c r="D29" s="9" t="str">
        <x:v>5996</x:v>
      </x:c>
      <x:c r="E29" s="9" t="str">
        <x:v>Wanaka</x:v>
      </x:c>
      <x:c r="F29" s="9" t="str">
        <x:v>420549251353</x:v>
      </x:c>
      <x:c r="G29" s="9" t="str">
        <x:v>POS</x:v>
      </x:c>
      <x:c r="H29" s="9" t="str">
        <x:v>---</x:v>
      </x:c>
      <x:c r="I29" s="9" t="str">
        <x:v>Not imported</x:v>
      </x:c>
      <x:c r="J29" s="9" t="str">
        <x:v>Excluded</x:v>
      </x:c>
      <x:c r="K29" s="9" t="str">
        <x:v>Personal, transfer, tax, cash withdrawal, food or entertainment; no GST claim.</x:v>
      </x:c>
      <x:c r="L29" s="9" t="str">
        <x:v>ycn5y9</x:v>
      </x:c>
      <x:c r="M29" s="9" t="str">
        <x:v>BNZ only</x:v>
      </x:c>
      <x:c r="N29" s="9" t="str">
        <x:v>No</x:v>
      </x:c>
    </x:row>
    <x:row r="30">
      <x:c r="A30" s="10" t="n">
        <x:v>46046.958333333336</x:v>
      </x:c>
      <x:c r="B30" s="11" t="n">
        <x:v>-37.65</x:v>
      </x:c>
      <x:c r="C30" s="9" t="str">
        <x:v>BP CONNECT WANAKA</x:v>
      </x:c>
      <x:c r="D30" s="9" t="str">
        <x:v>5996</x:v>
      </x:c>
      <x:c r="E30" s="9" t="str">
        <x:v>WANAKA</x:v>
      </x:c>
      <x:c r="F30" s="9" t="str">
        <x:v>492102250920</x:v>
      </x:c>
      <x:c r="G30" s="9" t="str">
        <x:v>POS</x:v>
      </x:c>
      <x:c r="H30" s="9" t="str">
        <x:v>---</x:v>
      </x:c>
      <x:c r="I30" s="9" t="str">
        <x:v>Not imported</x:v>
      </x:c>
      <x:c r="J30" s="9" t="str">
        <x:v>GST purchase included</x:v>
      </x:c>
      <x:c r="K30" s="9" t="str">
        <x:v>Business purchase.</x:v>
      </x:c>
      <x:c r="L30" s="9" t="str">
        <x:v>bgqowv</x:v>
      </x:c>
      <x:c r="M30" s="9" t="str">
        <x:v>BNZ only</x:v>
      </x:c>
      <x:c r="N30" s="9" t="str">
        <x:v>See ledger</x:v>
      </x:c>
    </x:row>
    <x:row r="31">
      <x:c r="A31" s="10" t="n">
        <x:v>46049.958333333336</x:v>
      </x:c>
      <x:c r="B31" s="11" t="n">
        <x:v>755.95</x:v>
      </x:c>
      <x:c r="C31" s="9" t="str">
        <x:v>BRAND S M</x:v>
      </x:c>
      <x:c r="D31" s="9" t="str"/>
      <x:c r="E31" s="9" t="str"/>
      <x:c r="F31" s="9" t="str">
        <x:v>Sarahbrand</x:v>
      </x:c>
      <x:c r="G31" s="9" t="str">
        <x:v>BP</x:v>
      </x:c>
      <x:c r="H31" s="9" t="str">
        <x:v>01-0834-0089400-01</x:v>
      </x:c>
      <x:c r="I31" s="9" t="str">
        <x:v>Not imported</x:v>
      </x:c>
      <x:c r="J31" s="9" t="str">
        <x:v>Taxable customer receipt</x:v>
      </x:c>
      <x:c r="K31" s="9" t="str"/>
      <x:c r="L31" s="9" t="str">
        <x:v>3bmn6m</x:v>
      </x:c>
      <x:c r="M31" s="9" t="str">
        <x:v>BNZ only</x:v>
      </x:c>
      <x:c r="N31" s="9" t="str">
        <x:v>See ledger</x:v>
      </x:c>
    </x:row>
    <x:row r="32">
      <x:c r="A32" s="10" t="n">
        <x:v>46050.958333333336</x:v>
      </x:c>
      <x:c r="B32" s="11" t="n">
        <x:v>-62</x:v>
      </x:c>
      <x:c r="C32" s="9" t="str">
        <x:v>THE WAREHOUSE 212 WA</x:v>
      </x:c>
      <x:c r="D32" s="9" t="str">
        <x:v>5996</x:v>
      </x:c>
      <x:c r="E32" s="9" t="str">
        <x:v>WANAKA</x:v>
      </x:c>
      <x:c r="F32" s="9" t="str">
        <x:v>434667291332</x:v>
      </x:c>
      <x:c r="G32" s="9" t="str">
        <x:v>POS</x:v>
      </x:c>
      <x:c r="H32" s="9" t="str">
        <x:v>---</x:v>
      </x:c>
      <x:c r="I32" s="9" t="str">
        <x:v>Not imported</x:v>
      </x:c>
      <x:c r="J32" s="9" t="str">
        <x:v>Review / excluded by default</x:v>
      </x:c>
      <x:c r="K32" s="9" t="str">
        <x:v>Ordinary work clothing excluded. Change to Y only if protective or a distinctive branded uniform.</x:v>
      </x:c>
      <x:c r="L32" s="9" t="str">
        <x:v>nyt9mg</x:v>
      </x:c>
      <x:c r="M32" s="9" t="str">
        <x:v>BNZ only</x:v>
      </x:c>
      <x:c r="N32" s="9" t="str">
        <x:v>No</x:v>
      </x:c>
    </x:row>
    <x:row r="33">
      <x:c r="A33" s="10" t="n">
        <x:v>46050.958333333336</x:v>
      </x:c>
      <x:c r="B33" s="11" t="n">
        <x:v>-200</x:v>
      </x:c>
      <x:c r="C33" s="9" t="str">
        <x:v>YouMoney</x:v>
      </x:c>
      <x:c r="D33" s="9" t="str"/>
      <x:c r="E33" s="9" t="str"/>
      <x:c r="F33" s="9" t="str">
        <x:v>INTERNET XFR</x:v>
      </x:c>
      <x:c r="G33" s="9" t="str">
        <x:v>FT</x:v>
      </x:c>
      <x:c r="H33" s="9" t="str">
        <x:v>02-0568-0080488-83</x:v>
      </x:c>
      <x:c r="I33" s="9" t="str">
        <x:v>Not imported</x:v>
      </x:c>
      <x:c r="J33" s="9" t="str">
        <x:v>Excluded</x:v>
      </x:c>
      <x:c r="K33" s="9" t="str">
        <x:v>Personal, transfer, tax, cash withdrawal, food or entertainment; no GST claim.</x:v>
      </x:c>
      <x:c r="L33" s="9" t="str">
        <x:v>vfdbyo</x:v>
      </x:c>
      <x:c r="M33" s="9" t="str">
        <x:v>BNZ only</x:v>
      </x:c>
      <x:c r="N33" s="9" t="str">
        <x:v>No</x:v>
      </x:c>
    </x:row>
    <x:row r="34">
      <x:c r="A34" s="10" t="n">
        <x:v>46051.958333333336</x:v>
      </x:c>
      <x:c r="B34" s="11" t="n">
        <x:v>2203.4</x:v>
      </x:c>
      <x:c r="C34" s="9" t="str">
        <x:v>CHIRNSIDE C T</x:v>
      </x:c>
      <x:c r="D34" s="9" t="str"/>
      <x:c r="E34" s="9" t="str">
        <x:v>No</x:v>
      </x:c>
      <x:c r="F34" s="9" t="str">
        <x:v>Inv Numb</x:v>
      </x:c>
      <x:c r="G34" s="9" t="str">
        <x:v>BP</x:v>
      </x:c>
      <x:c r="H34" s="9" t="str">
        <x:v>02-0912-0346493-10</x:v>
      </x:c>
      <x:c r="I34" s="9" t="str">
        <x:v>Not imported</x:v>
      </x:c>
      <x:c r="J34" s="9" t="str">
        <x:v>Taxable customer receipt</x:v>
      </x:c>
      <x:c r="K34" s="9" t="str"/>
      <x:c r="L34" s="9" t="str">
        <x:v>9u2omd</x:v>
      </x:c>
      <x:c r="M34" s="9" t="str">
        <x:v>BNZ only</x:v>
      </x:c>
      <x:c r="N34" s="9" t="str">
        <x:v>See ledger</x:v>
      </x:c>
    </x:row>
    <x:row r="35">
      <x:c r="A35" s="10" t="n">
        <x:v>46052.958333333336</x:v>
      </x:c>
      <x:c r="B35" s="11" t="n">
        <x:v>-11.8</x:v>
      </x:c>
      <x:c r="C35" s="9" t="str">
        <x:v>BP CONNECT WANAKA</x:v>
      </x:c>
      <x:c r="D35" s="9" t="str">
        <x:v>5996</x:v>
      </x:c>
      <x:c r="E35" s="9" t="str">
        <x:v>WANAKA</x:v>
      </x:c>
      <x:c r="F35" s="9" t="str">
        <x:v>492102311232</x:v>
      </x:c>
      <x:c r="G35" s="9" t="str">
        <x:v>POS</x:v>
      </x:c>
      <x:c r="H35" s="9" t="str">
        <x:v>---</x:v>
      </x:c>
      <x:c r="I35" s="9" t="str">
        <x:v>Not imported</x:v>
      </x:c>
      <x:c r="J35" s="9" t="str">
        <x:v>GST purchase included</x:v>
      </x:c>
      <x:c r="K35" s="9" t="str">
        <x:v>Business purchase.</x:v>
      </x:c>
      <x:c r="L35" s="9" t="str">
        <x:v>7v6xwt</x:v>
      </x:c>
      <x:c r="M35" s="9" t="str">
        <x:v>BNZ only</x:v>
      </x:c>
      <x:c r="N35" s="9" t="str">
        <x:v>See ledger</x:v>
      </x:c>
    </x:row>
    <x:row r="36">
      <x:c r="A36" s="10" t="n">
        <x:v>46052.958333333336</x:v>
      </x:c>
      <x:c r="B36" s="11" t="n">
        <x:v>-22.44</x:v>
      </x:c>
      <x:c r="C36" s="9" t="str">
        <x:v>COLUMBUSCOFFEEWANAKA</x:v>
      </x:c>
      <x:c r="D36" s="9" t="str">
        <x:v>5996</x:v>
      </x:c>
      <x:c r="E36" s="9" t="str">
        <x:v>WANAKA</x:v>
      </x:c>
      <x:c r="F36" s="9" t="str">
        <x:v>434667311036</x:v>
      </x:c>
      <x:c r="G36" s="9" t="str">
        <x:v>POS</x:v>
      </x:c>
      <x:c r="H36" s="9" t="str">
        <x:v>---</x:v>
      </x:c>
      <x:c r="I36" s="9" t="str">
        <x:v>Not imported</x:v>
      </x:c>
      <x:c r="J36" s="9" t="str">
        <x:v>Excluded</x:v>
      </x:c>
      <x:c r="K36" s="9" t="str">
        <x:v>Personal, transfer, tax, cash withdrawal, food or entertainment; no GST claim.</x:v>
      </x:c>
      <x:c r="L36" s="9" t="str">
        <x:v>5kvbgz</x:v>
      </x:c>
      <x:c r="M36" s="9" t="str">
        <x:v>BNZ only</x:v>
      </x:c>
      <x:c r="N36" s="9" t="str">
        <x:v>No</x:v>
      </x:c>
    </x:row>
    <x:row r="37">
      <x:c r="A37" s="10" t="n">
        <x:v>46052.958333333336</x:v>
      </x:c>
      <x:c r="B37" s="11" t="n">
        <x:v>-250.45</x:v>
      </x:c>
      <x:c r="C37" s="9" t="str">
        <x:v>MITRE 10 MEGA WANAKA</x:v>
      </x:c>
      <x:c r="D37" s="9" t="str">
        <x:v>5996</x:v>
      </x:c>
      <x:c r="E37" s="9" t="str">
        <x:v>WANAKA</x:v>
      </x:c>
      <x:c r="F37" s="9" t="str">
        <x:v>434667311014</x:v>
      </x:c>
      <x:c r="G37" s="9" t="str">
        <x:v>POS</x:v>
      </x:c>
      <x:c r="H37" s="9" t="str">
        <x:v>---</x:v>
      </x:c>
      <x:c r="I37" s="9" t="str">
        <x:v>Not imported</x:v>
      </x:c>
      <x:c r="J37" s="9" t="str">
        <x:v>GST purchase included</x:v>
      </x:c>
      <x:c r="K37" s="9" t="str">
        <x:v>Business purchase.</x:v>
      </x:c>
      <x:c r="L37" s="9" t="str">
        <x:v>u74e5p</x:v>
      </x:c>
      <x:c r="M37" s="9" t="str">
        <x:v>BNZ only</x:v>
      </x:c>
      <x:c r="N37" s="9" t="str">
        <x:v>See ledger</x:v>
      </x:c>
    </x:row>
    <x:row r="38">
      <x:c r="A38" s="10" t="n">
        <x:v>46052.958333333336</x:v>
      </x:c>
      <x:c r="B38" s="11" t="n">
        <x:v>-6.79</x:v>
      </x:c>
      <x:c r="C38" s="9" t="str">
        <x:v>New World Three Park</x:v>
      </x:c>
      <x:c r="D38" s="9" t="str">
        <x:v>5996</x:v>
      </x:c>
      <x:c r="E38" s="9" t="str">
        <x:v>Wanaka</x:v>
      </x:c>
      <x:c r="F38" s="9" t="str">
        <x:v>420549311607</x:v>
      </x:c>
      <x:c r="G38" s="9" t="str">
        <x:v>POS</x:v>
      </x:c>
      <x:c r="H38" s="9" t="str">
        <x:v>---</x:v>
      </x:c>
      <x:c r="I38" s="9" t="str">
        <x:v>Not imported</x:v>
      </x:c>
      <x:c r="J38" s="9" t="str">
        <x:v>Excluded</x:v>
      </x:c>
      <x:c r="K38" s="9" t="str">
        <x:v>Personal, transfer, tax, cash withdrawal, food or entertainment; no GST claim.</x:v>
      </x:c>
      <x:c r="L38" s="9" t="str">
        <x:v>qhoyaq</x:v>
      </x:c>
      <x:c r="M38" s="9" t="str">
        <x:v>BNZ only</x:v>
      </x:c>
      <x:c r="N38" s="9" t="str">
        <x:v>No</x:v>
      </x:c>
    </x:row>
    <x:row r="39">
      <x:c r="A39" s="10" t="n">
        <x:v>46053.958333333336</x:v>
      </x:c>
      <x:c r="B39" s="11" t="n">
        <x:v>-10</x:v>
      </x:c>
      <x:c r="C39" s="9" t="str">
        <x:v>PATAGONIA WANAKA</x:v>
      </x:c>
      <x:c r="D39" s="9" t="str">
        <x:v>5996</x:v>
      </x:c>
      <x:c r="E39" s="9" t="str">
        <x:v>WANAKA</x:v>
      </x:c>
      <x:c r="F39" s="9" t="str">
        <x:v>434667011124</x:v>
      </x:c>
      <x:c r="G39" s="9" t="str">
        <x:v>POS</x:v>
      </x:c>
      <x:c r="H39" s="9" t="str">
        <x:v>---</x:v>
      </x:c>
      <x:c r="I39" s="9" t="str">
        <x:v>Not imported</x:v>
      </x:c>
      <x:c r="J39" s="9" t="str">
        <x:v>Excluded</x:v>
      </x:c>
      <x:c r="K39" s="9" t="str">
        <x:v>Personal, transfer, tax, cash withdrawal, food or entertainment; no GST claim.</x:v>
      </x:c>
      <x:c r="L39" s="9" t="str">
        <x:v>lx0o6b</x:v>
      </x:c>
      <x:c r="M39" s="9" t="str">
        <x:v>BNZ only</x:v>
      </x:c>
      <x:c r="N39" s="9" t="str">
        <x:v>No</x:v>
      </x:c>
    </x:row>
    <x:row r="40">
      <x:c r="A40" s="10" t="n">
        <x:v>46053.958333333336</x:v>
      </x:c>
      <x:c r="B40" s="11" t="n">
        <x:v>-63.73</x:v>
      </x:c>
      <x:c r="C40" s="9" t="str">
        <x:v>BP CONNECT WANAKA</x:v>
      </x:c>
      <x:c r="D40" s="9" t="str">
        <x:v>5996</x:v>
      </x:c>
      <x:c r="E40" s="9" t="str">
        <x:v>WANAKA</x:v>
      </x:c>
      <x:c r="F40" s="9" t="str">
        <x:v>492102010949</x:v>
      </x:c>
      <x:c r="G40" s="9" t="str">
        <x:v>POS</x:v>
      </x:c>
      <x:c r="H40" s="9" t="str">
        <x:v>---</x:v>
      </x:c>
      <x:c r="I40" s="9" t="str">
        <x:v>Not imported</x:v>
      </x:c>
      <x:c r="J40" s="9" t="str">
        <x:v>GST purchase included</x:v>
      </x:c>
      <x:c r="K40" s="9" t="str">
        <x:v>Business purchase.</x:v>
      </x:c>
      <x:c r="L40" s="9" t="str">
        <x:v>ujndj5</x:v>
      </x:c>
      <x:c r="M40" s="9" t="str">
        <x:v>BNZ only</x:v>
      </x:c>
      <x:c r="N40" s="9" t="str">
        <x:v>See ledger</x:v>
      </x:c>
    </x:row>
    <x:row r="41">
      <x:c r="A41" s="10" t="n">
        <x:v>46054.958333333336</x:v>
      </x:c>
      <x:c r="B41" s="11" t="n">
        <x:v>-75</x:v>
      </x:c>
      <x:c r="C41" s="9" t="str">
        <x:v>Resene - Wanaka 087</x:v>
      </x:c>
      <x:c r="D41" s="9" t="str">
        <x:v>5996</x:v>
      </x:c>
      <x:c r="E41" s="9" t="str">
        <x:v>Wanaka</x:v>
      </x:c>
      <x:c r="F41" s="9" t="str">
        <x:v>420549020857</x:v>
      </x:c>
      <x:c r="G41" s="9" t="str">
        <x:v>POS</x:v>
      </x:c>
      <x:c r="H41" s="9" t="str">
        <x:v>---</x:v>
      </x:c>
      <x:c r="I41" s="9" t="str">
        <x:v>Not imported</x:v>
      </x:c>
      <x:c r="J41" s="9" t="str">
        <x:v>GST purchase included</x:v>
      </x:c>
      <x:c r="K41" s="9" t="str">
        <x:v>Business purchase.</x:v>
      </x:c>
      <x:c r="L41" s="9" t="str">
        <x:v>thunrk</x:v>
      </x:c>
      <x:c r="M41" s="9" t="str">
        <x:v>BNZ only</x:v>
      </x:c>
      <x:c r="N41" s="9" t="str">
        <x:v>See ledger</x:v>
      </x:c>
    </x:row>
    <x:row r="42">
      <x:c r="A42" s="10" t="n">
        <x:v>46054.958333333336</x:v>
      </x:c>
      <x:c r="B42" s="11" t="n">
        <x:v>-76.31</x:v>
      </x:c>
      <x:c r="C42" s="9" t="str">
        <x:v>Placemakers Wanaka</x:v>
      </x:c>
      <x:c r="D42" s="9" t="str">
        <x:v>5996</x:v>
      </x:c>
      <x:c r="E42" s="9" t="str">
        <x:v>Wanaka</x:v>
      </x:c>
      <x:c r="F42" s="9" t="str">
        <x:v>420549020903</x:v>
      </x:c>
      <x:c r="G42" s="9" t="str">
        <x:v>POS</x:v>
      </x:c>
      <x:c r="H42" s="9" t="str">
        <x:v>---</x:v>
      </x:c>
      <x:c r="I42" s="9" t="str">
        <x:v>Not imported</x:v>
      </x:c>
      <x:c r="J42" s="9" t="str">
        <x:v>GST purchase included</x:v>
      </x:c>
      <x:c r="K42" s="9" t="str">
        <x:v>Business purchase.</x:v>
      </x:c>
      <x:c r="L42" s="9" t="str">
        <x:v>j68pxj</x:v>
      </x:c>
      <x:c r="M42" s="9" t="str">
        <x:v>BNZ only</x:v>
      </x:c>
      <x:c r="N42" s="9" t="str">
        <x:v>See ledger</x:v>
      </x:c>
    </x:row>
    <x:row r="43">
      <x:c r="A43" s="10" t="n">
        <x:v>46054.958333333336</x:v>
      </x:c>
      <x:c r="B43" s="11" t="n">
        <x:v>-140</x:v>
      </x:c>
      <x:c r="C43" s="9" t="str">
        <x:v>Stirling Sports Wana</x:v>
      </x:c>
      <x:c r="D43" s="9" t="str">
        <x:v>5996</x:v>
      </x:c>
      <x:c r="E43" s="9" t="str">
        <x:v>Wanaka</x:v>
      </x:c>
      <x:c r="F43" s="9" t="str">
        <x:v>420549020921</x:v>
      </x:c>
      <x:c r="G43" s="9" t="str">
        <x:v>POS</x:v>
      </x:c>
      <x:c r="H43" s="9" t="str">
        <x:v>---</x:v>
      </x:c>
      <x:c r="I43" s="9" t="str">
        <x:v>Not imported</x:v>
      </x:c>
      <x:c r="J43" s="9" t="str">
        <x:v>Excluded</x:v>
      </x:c>
      <x:c r="K43" s="9" t="str">
        <x:v>Personal, transfer, tax, cash withdrawal, food or entertainment; no GST claim.</x:v>
      </x:c>
      <x:c r="L43" s="9" t="str">
        <x:v>ocww6q</x:v>
      </x:c>
      <x:c r="M43" s="9" t="str">
        <x:v>BNZ only</x:v>
      </x:c>
      <x:c r="N43" s="9" t="str">
        <x:v>No</x:v>
      </x:c>
    </x:row>
    <x:row r="44">
      <x:c r="A44" s="10" t="n">
        <x:v>46054.958333333336</x:v>
      </x:c>
      <x:c r="B44" s="11" t="n">
        <x:v>-11.69</x:v>
      </x:c>
      <x:c r="C44" s="9" t="str">
        <x:v>The Little Brewer</x:v>
      </x:c>
      <x:c r="D44" s="9" t="str">
        <x:v>5996</x:v>
      </x:c>
      <x:c r="E44" s="9" t="str">
        <x:v>Wanaka</x:v>
      </x:c>
      <x:c r="F44" s="9" t="str">
        <x:v>420549020925</x:v>
      </x:c>
      <x:c r="G44" s="9" t="str">
        <x:v>POS</x:v>
      </x:c>
      <x:c r="H44" s="9" t="str">
        <x:v>---</x:v>
      </x:c>
      <x:c r="I44" s="9" t="str">
        <x:v>Not imported</x:v>
      </x:c>
      <x:c r="J44" s="9" t="str">
        <x:v>Excluded</x:v>
      </x:c>
      <x:c r="K44" s="9" t="str">
        <x:v>Personal, transfer, tax, cash withdrawal, food or entertainment; no GST claim.</x:v>
      </x:c>
      <x:c r="L44" s="9" t="str">
        <x:v>eafe7a</x:v>
      </x:c>
      <x:c r="M44" s="9" t="str">
        <x:v>BNZ only</x:v>
      </x:c>
      <x:c r="N44" s="9" t="str">
        <x:v>No</x:v>
      </x:c>
    </x:row>
    <x:row r="45">
      <x:c r="A45" s="10" t="n">
        <x:v>46054.958333333336</x:v>
      </x:c>
      <x:c r="B45" s="11" t="n">
        <x:v>2001</x:v>
      </x:c>
      <x:c r="C45" s="9" t="str">
        <x:v>C E &amp; S S GUNN</x:v>
      </x:c>
      <x:c r="D45" s="9" t="str">
        <x:v>50 Dale St</x:v>
      </x:c>
      <x:c r="E45" s="9" t="str">
        <x:v>painting</x:v>
      </x:c>
      <x:c r="F45" s="9" t="str">
        <x:v>30 percent d</x:v>
      </x:c>
      <x:c r="G45" s="9" t="str">
        <x:v>BP</x:v>
      </x:c>
      <x:c r="H45" s="9" t="str">
        <x:v>38-9008-0296521-09</x:v>
      </x:c>
      <x:c r="I45" s="9" t="str">
        <x:v>Not imported</x:v>
      </x:c>
      <x:c r="J45" s="9" t="str">
        <x:v>Taxable customer receipt</x:v>
      </x:c>
      <x:c r="K45" s="9" t="str"/>
      <x:c r="L45" s="9" t="str">
        <x:v>vao3ik</x:v>
      </x:c>
      <x:c r="M45" s="9" t="str">
        <x:v>BNZ only</x:v>
      </x:c>
      <x:c r="N45" s="9" t="str">
        <x:v>See ledger</x:v>
      </x:c>
    </x:row>
    <x:row r="46">
      <x:c r="A46" s="10" t="n">
        <x:v>46054.958333333336</x:v>
      </x:c>
      <x:c r="B46" s="11" t="n">
        <x:v>465.75</x:v>
      </x:c>
      <x:c r="C46" s="9" t="str">
        <x:v>NICHOLSON  TD &amp;</x:v>
      </x:c>
      <x:c r="D46" s="9" t="str">
        <x:v>4 perrow st</x:v>
      </x:c>
      <x:c r="E46" s="9" t="str">
        <x:v>Gables</x:v>
      </x:c>
      <x:c r="F46" s="9" t="str">
        <x:v>Nicholson</x:v>
      </x:c>
      <x:c r="G46" s="9" t="str">
        <x:v>BP</x:v>
      </x:c>
      <x:c r="H46" s="9" t="str">
        <x:v>02-1269-0043681-01</x:v>
      </x:c>
      <x:c r="I46" s="9" t="str">
        <x:v>Not imported</x:v>
      </x:c>
      <x:c r="J46" s="9" t="str">
        <x:v>Taxable customer receipt</x:v>
      </x:c>
      <x:c r="K46" s="9" t="str"/>
      <x:c r="L46" s="9" t="str">
        <x:v>8pfu7c</x:v>
      </x:c>
      <x:c r="M46" s="9" t="str">
        <x:v>BNZ only</x:v>
      </x:c>
      <x:c r="N46" s="9" t="str">
        <x:v>See ledger</x:v>
      </x:c>
    </x:row>
    <x:row r="47">
      <x:c r="A47" s="10" t="n">
        <x:v>46055.958333333336</x:v>
      </x:c>
      <x:c r="B47" s="11" t="n">
        <x:v>-387.37</x:v>
      </x:c>
      <x:c r="C47" s="9" t="str">
        <x:v>Resene - Wanaka 087</x:v>
      </x:c>
      <x:c r="D47" s="9" t="str">
        <x:v>5996</x:v>
      </x:c>
      <x:c r="E47" s="9" t="str">
        <x:v>Wanaka</x:v>
      </x:c>
      <x:c r="F47" s="9" t="str">
        <x:v>420549031255</x:v>
      </x:c>
      <x:c r="G47" s="9" t="str">
        <x:v>POS</x:v>
      </x:c>
      <x:c r="H47" s="9" t="str">
        <x:v>---</x:v>
      </x:c>
      <x:c r="I47" s="9" t="str">
        <x:v>Not imported</x:v>
      </x:c>
      <x:c r="J47" s="9" t="str">
        <x:v>GST purchase included</x:v>
      </x:c>
      <x:c r="K47" s="9" t="str">
        <x:v>Business purchase.</x:v>
      </x:c>
      <x:c r="L47" s="9" t="str">
        <x:v>y9b2np</x:v>
      </x:c>
      <x:c r="M47" s="9" t="str">
        <x:v>BNZ only</x:v>
      </x:c>
      <x:c r="N47" s="9" t="str">
        <x:v>See ledger</x:v>
      </x:c>
    </x:row>
    <x:row r="48">
      <x:c r="A48" s="10" t="n">
        <x:v>46056.958333333336</x:v>
      </x:c>
      <x:c r="B48" s="11" t="n">
        <x:v>-48.08</x:v>
      </x:c>
      <x:c r="C48" s="9" t="str">
        <x:v>MITRE 10 MEGA WANAKA</x:v>
      </x:c>
      <x:c r="D48" s="9" t="str">
        <x:v>5996</x:v>
      </x:c>
      <x:c r="E48" s="9" t="str">
        <x:v>WANAKA</x:v>
      </x:c>
      <x:c r="F48" s="9" t="str">
        <x:v>434667041430</x:v>
      </x:c>
      <x:c r="G48" s="9" t="str">
        <x:v>POS</x:v>
      </x:c>
      <x:c r="H48" s="9" t="str">
        <x:v>---</x:v>
      </x:c>
      <x:c r="I48" s="9" t="str">
        <x:v>Not imported</x:v>
      </x:c>
      <x:c r="J48" s="9" t="str">
        <x:v>GST purchase included</x:v>
      </x:c>
      <x:c r="K48" s="9" t="str">
        <x:v>Business purchase.</x:v>
      </x:c>
      <x:c r="L48" s="9" t="str">
        <x:v>4is22s</x:v>
      </x:c>
      <x:c r="M48" s="9" t="str">
        <x:v>BNZ only</x:v>
      </x:c>
      <x:c r="N48" s="9" t="str">
        <x:v>See ledger</x:v>
      </x:c>
    </x:row>
    <x:row r="49">
      <x:c r="A49" s="10" t="n">
        <x:v>46056.958333333336</x:v>
      </x:c>
      <x:c r="B49" s="11" t="n">
        <x:v>-48.48</x:v>
      </x:c>
      <x:c r="C49" s="9" t="str">
        <x:v>Resene - Wanaka 087</x:v>
      </x:c>
      <x:c r="D49" s="9" t="str">
        <x:v>5996</x:v>
      </x:c>
      <x:c r="E49" s="9" t="str">
        <x:v>Wanaka</x:v>
      </x:c>
      <x:c r="F49" s="9" t="str">
        <x:v>420549040830</x:v>
      </x:c>
      <x:c r="G49" s="9" t="str">
        <x:v>POS</x:v>
      </x:c>
      <x:c r="H49" s="9" t="str">
        <x:v>---</x:v>
      </x:c>
      <x:c r="I49" s="9" t="str">
        <x:v>Not imported</x:v>
      </x:c>
      <x:c r="J49" s="9" t="str">
        <x:v>GST purchase included</x:v>
      </x:c>
      <x:c r="K49" s="9" t="str">
        <x:v>Business purchase.</x:v>
      </x:c>
      <x:c r="L49" s="9" t="str">
        <x:v>glgtrd</x:v>
      </x:c>
      <x:c r="M49" s="9" t="str">
        <x:v>BNZ only</x:v>
      </x:c>
      <x:c r="N49" s="9" t="str">
        <x:v>See ledger</x:v>
      </x:c>
    </x:row>
    <x:row r="50">
      <x:c r="A50" s="10" t="n">
        <x:v>46056.958333333336</x:v>
      </x:c>
      <x:c r="B50" s="11" t="n">
        <x:v>-10.2</x:v>
      </x:c>
      <x:c r="C50" s="9" t="str">
        <x:v>COLUMBUSCOFFEEWANAKA</x:v>
      </x:c>
      <x:c r="D50" s="9" t="str">
        <x:v>5996</x:v>
      </x:c>
      <x:c r="E50" s="9" t="str">
        <x:v>WANAKA</x:v>
      </x:c>
      <x:c r="F50" s="9" t="str">
        <x:v>434667041535</x:v>
      </x:c>
      <x:c r="G50" s="9" t="str">
        <x:v>POS</x:v>
      </x:c>
      <x:c r="H50" s="9" t="str">
        <x:v>---</x:v>
      </x:c>
      <x:c r="I50" s="9" t="str">
        <x:v>Not imported</x:v>
      </x:c>
      <x:c r="J50" s="9" t="str">
        <x:v>Excluded</x:v>
      </x:c>
      <x:c r="K50" s="9" t="str">
        <x:v>Personal, transfer, tax, cash withdrawal, food or entertainment; no GST claim.</x:v>
      </x:c>
      <x:c r="L50" s="9" t="str">
        <x:v>x17tan</x:v>
      </x:c>
      <x:c r="M50" s="9" t="str">
        <x:v>BNZ only</x:v>
      </x:c>
      <x:c r="N50" s="9" t="str">
        <x:v>No</x:v>
      </x:c>
    </x:row>
    <x:row r="51">
      <x:c r="A51" s="10" t="n">
        <x:v>46056.958333333336</x:v>
      </x:c>
      <x:c r="B51" s="11" t="n">
        <x:v>-18.12</x:v>
      </x:c>
      <x:c r="C51" s="9" t="str">
        <x:v>MITRE 10 MEGA WANAKA</x:v>
      </x:c>
      <x:c r="D51" s="9" t="str">
        <x:v>5996</x:v>
      </x:c>
      <x:c r="E51" s="9" t="str">
        <x:v>WANAKA</x:v>
      </x:c>
      <x:c r="F51" s="9" t="str">
        <x:v>434667041536</x:v>
      </x:c>
      <x:c r="G51" s="9" t="str">
        <x:v>POS</x:v>
      </x:c>
      <x:c r="H51" s="9" t="str">
        <x:v>---</x:v>
      </x:c>
      <x:c r="I51" s="9" t="str">
        <x:v>Not imported</x:v>
      </x:c>
      <x:c r="J51" s="9" t="str">
        <x:v>GST purchase included</x:v>
      </x:c>
      <x:c r="K51" s="9" t="str">
        <x:v>Business purchase.</x:v>
      </x:c>
      <x:c r="L51" s="9" t="str">
        <x:v>4hir8j</x:v>
      </x:c>
      <x:c r="M51" s="9" t="str">
        <x:v>BNZ only</x:v>
      </x:c>
      <x:c r="N51" s="9" t="str">
        <x:v>See ledger</x:v>
      </x:c>
    </x:row>
    <x:row r="52">
      <x:c r="A52" s="10" t="n">
        <x:v>46056.958333333336</x:v>
      </x:c>
      <x:c r="B52" s="11" t="n">
        <x:v>-20</x:v>
      </x:c>
      <x:c r="C52" s="9" t="str">
        <x:v>One NZ Wanaka</x:v>
      </x:c>
      <x:c r="D52" s="9" t="str">
        <x:v>5996</x:v>
      </x:c>
      <x:c r="E52" s="9" t="str">
        <x:v>Wanaka</x:v>
      </x:c>
      <x:c r="F52" s="9" t="str">
        <x:v>420549041259</x:v>
      </x:c>
      <x:c r="G52" s="9" t="str">
        <x:v>POS</x:v>
      </x:c>
      <x:c r="H52" s="9" t="str">
        <x:v>---</x:v>
      </x:c>
      <x:c r="I52" s="9" t="str">
        <x:v>Not imported</x:v>
      </x:c>
      <x:c r="J52" s="9" t="str">
        <x:v>GST purchase included</x:v>
      </x:c>
      <x:c r="K52" s="9" t="str">
        <x:v>Business purchase.</x:v>
      </x:c>
      <x:c r="L52" s="9" t="str">
        <x:v>cu6crn</x:v>
      </x:c>
      <x:c r="M52" s="9" t="str">
        <x:v>BNZ only</x:v>
      </x:c>
      <x:c r="N52" s="9" t="str">
        <x:v>See ledger</x:v>
      </x:c>
    </x:row>
    <x:row r="53">
      <x:c r="A53" s="10" t="n">
        <x:v>46058.958333333336</x:v>
      </x:c>
      <x:c r="B53" s="11" t="n">
        <x:v>-6.9</x:v>
      </x:c>
      <x:c r="C53" s="9" t="str">
        <x:v>ColumbusCoffeeWanaka</x:v>
      </x:c>
      <x:c r="D53" s="9" t="str">
        <x:v>554447505996</x:v>
      </x:c>
      <x:c r="E53" s="9" t="str">
        <x:v>Wanaka</x:v>
      </x:c>
      <x:c r="F53" s="9" t="str">
        <x:v>0499061130</x:v>
      </x:c>
      <x:c r="G53" s="9" t="str">
        <x:v>POS</x:v>
      </x:c>
      <x:c r="H53" s="9" t="str">
        <x:v>---</x:v>
      </x:c>
      <x:c r="I53" s="9" t="str">
        <x:v>Not imported</x:v>
      </x:c>
      <x:c r="J53" s="9" t="str">
        <x:v>Excluded</x:v>
      </x:c>
      <x:c r="K53" s="9" t="str">
        <x:v>Personal, transfer, tax, cash withdrawal, food or entertainment; no GST claim.</x:v>
      </x:c>
      <x:c r="L53" s="9" t="str">
        <x:v>e3u2gw</x:v>
      </x:c>
      <x:c r="M53" s="9" t="str">
        <x:v>BNZ only</x:v>
      </x:c>
      <x:c r="N53" s="9" t="str">
        <x:v>No</x:v>
      </x:c>
    </x:row>
    <x:row r="54">
      <x:c r="A54" s="10" t="n">
        <x:v>46058.958333333336</x:v>
      </x:c>
      <x:c r="B54" s="11" t="n">
        <x:v>-106.9</x:v>
      </x:c>
      <x:c r="C54" s="9" t="str">
        <x:v>MITRE 10 MEGA WANAKA</x:v>
      </x:c>
      <x:c r="D54" s="9" t="str">
        <x:v>5996</x:v>
      </x:c>
      <x:c r="E54" s="9" t="str">
        <x:v>WANAKA</x:v>
      </x:c>
      <x:c r="F54" s="9" t="str">
        <x:v>434667061321</x:v>
      </x:c>
      <x:c r="G54" s="9" t="str">
        <x:v>POS</x:v>
      </x:c>
      <x:c r="H54" s="9" t="str">
        <x:v>---</x:v>
      </x:c>
      <x:c r="I54" s="9" t="str">
        <x:v>Not imported</x:v>
      </x:c>
      <x:c r="J54" s="9" t="str">
        <x:v>GST purchase included</x:v>
      </x:c>
      <x:c r="K54" s="9" t="str">
        <x:v>Business purchase.</x:v>
      </x:c>
      <x:c r="L54" s="9" t="str">
        <x:v>g5xtnx</x:v>
      </x:c>
      <x:c r="M54" s="9" t="str">
        <x:v>BNZ only</x:v>
      </x:c>
      <x:c r="N54" s="9" t="str">
        <x:v>See ledger</x:v>
      </x:c>
    </x:row>
    <x:row r="55">
      <x:c r="A55" s="10" t="n">
        <x:v>46059.958333333336</x:v>
      </x:c>
      <x:c r="B55" s="11" t="n">
        <x:v>-20.99</x:v>
      </x:c>
      <x:c r="C55" s="9" t="str">
        <x:v>UBER *EATS HELP.UBER</x:v>
      </x:c>
      <x:c r="D55" s="9" t="str">
        <x:v>5996</x:v>
      </x:c>
      <x:c r="E55" s="9" t="str">
        <x:v>Christchurch</x:v>
      </x:c>
      <x:c r="F55" s="9" t="str">
        <x:v>453241071255</x:v>
      </x:c>
      <x:c r="G55" s="9" t="str">
        <x:v>POS</x:v>
      </x:c>
      <x:c r="H55" s="9" t="str">
        <x:v>---</x:v>
      </x:c>
      <x:c r="I55" s="9" t="str">
        <x:v>Not imported</x:v>
      </x:c>
      <x:c r="J55" s="9" t="str">
        <x:v>Excluded</x:v>
      </x:c>
      <x:c r="K55" s="9" t="str">
        <x:v>Personal, transfer, tax, cash withdrawal, food or entertainment; no GST claim.</x:v>
      </x:c>
      <x:c r="L55" s="9" t="str">
        <x:v>1wscv5</x:v>
      </x:c>
      <x:c r="M55" s="9" t="str">
        <x:v>BNZ only</x:v>
      </x:c>
      <x:c r="N55" s="9" t="str">
        <x:v>No</x:v>
      </x:c>
    </x:row>
    <x:row r="56">
      <x:c r="A56" s="10" t="n">
        <x:v>46060.958333333336</x:v>
      </x:c>
      <x:c r="B56" s="11" t="n">
        <x:v>-30.5</x:v>
      </x:c>
      <x:c r="C56" s="9" t="str">
        <x:v>The little brewer</x:v>
      </x:c>
      <x:c r="D56" s="9" t="str">
        <x:v>554447505996</x:v>
      </x:c>
      <x:c r="E56" s="9" t="str">
        <x:v>Wanaka</x:v>
      </x:c>
      <x:c r="F56" s="9" t="str">
        <x:v>0499081243</x:v>
      </x:c>
      <x:c r="G56" s="9" t="str">
        <x:v>POS</x:v>
      </x:c>
      <x:c r="H56" s="9" t="str">
        <x:v>---</x:v>
      </x:c>
      <x:c r="I56" s="9" t="str">
        <x:v>Not imported</x:v>
      </x:c>
      <x:c r="J56" s="9" t="str">
        <x:v>Excluded</x:v>
      </x:c>
      <x:c r="K56" s="9" t="str">
        <x:v>Personal, transfer, tax, cash withdrawal, food or entertainment; no GST claim.</x:v>
      </x:c>
      <x:c r="L56" s="9" t="str">
        <x:v>nvuesd</x:v>
      </x:c>
      <x:c r="M56" s="9" t="str">
        <x:v>BNZ only</x:v>
      </x:c>
      <x:c r="N56" s="9" t="str">
        <x:v>No</x:v>
      </x:c>
    </x:row>
    <x:row r="57">
      <x:c r="A57" s="10" t="n">
        <x:v>46060.958333333336</x:v>
      </x:c>
      <x:c r="B57" s="11" t="n">
        <x:v>3864</x:v>
      </x:c>
      <x:c r="C57" s="9" t="str">
        <x:v>JACKSON K B</x:v>
      </x:c>
      <x:c r="D57" s="9" t="str">
        <x:v>P Jackson</x:v>
      </x:c>
      <x:c r="E57" s="9" t="str">
        <x:v>8 Feb 26</x:v>
      </x:c>
      <x:c r="F57" s="9" t="str">
        <x:v>Balance</x:v>
      </x:c>
      <x:c r="G57" s="9" t="str">
        <x:v>BP</x:v>
      </x:c>
      <x:c r="H57" s="9" t="str">
        <x:v>01-0867-0089036-00</x:v>
      </x:c>
      <x:c r="I57" s="9" t="str">
        <x:v>Not imported</x:v>
      </x:c>
      <x:c r="J57" s="9" t="str">
        <x:v>Taxable customer receipt</x:v>
      </x:c>
      <x:c r="K57" s="9" t="str"/>
      <x:c r="L57" s="9" t="str">
        <x:v>jhrb7f</x:v>
      </x:c>
      <x:c r="M57" s="9" t="str">
        <x:v>BNZ only</x:v>
      </x:c>
      <x:c r="N57" s="9" t="str">
        <x:v>See ledger</x:v>
      </x:c>
    </x:row>
    <x:row r="58">
      <x:c r="A58" s="10" t="n">
        <x:v>46061.958333333336</x:v>
      </x:c>
      <x:c r="B58" s="11" t="n">
        <x:v>-10.2</x:v>
      </x:c>
      <x:c r="C58" s="9" t="str">
        <x:v>COLUMBUSCOFFEEWANAKA</x:v>
      </x:c>
      <x:c r="D58" s="9" t="str">
        <x:v>5996</x:v>
      </x:c>
      <x:c r="E58" s="9" t="str">
        <x:v>WANAKA</x:v>
      </x:c>
      <x:c r="F58" s="9" t="str">
        <x:v>434667091244</x:v>
      </x:c>
      <x:c r="G58" s="9" t="str">
        <x:v>POS</x:v>
      </x:c>
      <x:c r="H58" s="9" t="str">
        <x:v>---</x:v>
      </x:c>
      <x:c r="I58" s="9" t="str">
        <x:v>Not imported</x:v>
      </x:c>
      <x:c r="J58" s="9" t="str">
        <x:v>Excluded</x:v>
      </x:c>
      <x:c r="K58" s="9" t="str">
        <x:v>Personal, transfer, tax, cash withdrawal, food or entertainment; no GST claim.</x:v>
      </x:c>
      <x:c r="L58" s="9" t="str">
        <x:v>5cl1o6</x:v>
      </x:c>
      <x:c r="M58" s="9" t="str">
        <x:v>BNZ only</x:v>
      </x:c>
      <x:c r="N58" s="9" t="str">
        <x:v>No</x:v>
      </x:c>
    </x:row>
    <x:row r="59">
      <x:c r="A59" s="10" t="n">
        <x:v>46061.958333333336</x:v>
      </x:c>
      <x:c r="B59" s="11" t="n">
        <x:v>-176.57</x:v>
      </x:c>
      <x:c r="C59" s="9" t="str">
        <x:v>MITRE 10 MEGA WANAKA</x:v>
      </x:c>
      <x:c r="D59" s="9" t="str">
        <x:v>5996</x:v>
      </x:c>
      <x:c r="E59" s="9" t="str">
        <x:v>WANAKA</x:v>
      </x:c>
      <x:c r="F59" s="9" t="str">
        <x:v>434667091331</x:v>
      </x:c>
      <x:c r="G59" s="9" t="str">
        <x:v>POS</x:v>
      </x:c>
      <x:c r="H59" s="9" t="str">
        <x:v>---</x:v>
      </x:c>
      <x:c r="I59" s="9" t="str">
        <x:v>Not imported</x:v>
      </x:c>
      <x:c r="J59" s="9" t="str">
        <x:v>GST purchase included</x:v>
      </x:c>
      <x:c r="K59" s="9" t="str">
        <x:v>Business purchase.</x:v>
      </x:c>
      <x:c r="L59" s="9" t="str">
        <x:v>6bkg4k</x:v>
      </x:c>
      <x:c r="M59" s="9" t="str">
        <x:v>BNZ only</x:v>
      </x:c>
      <x:c r="N59" s="9" t="str">
        <x:v>See ledger</x:v>
      </x:c>
    </x:row>
    <x:row r="60">
      <x:c r="A60" s="10" t="n">
        <x:v>46061.958333333336</x:v>
      </x:c>
      <x:c r="B60" s="11" t="n">
        <x:v>-54.89</x:v>
      </x:c>
      <x:c r="C60" s="9" t="str">
        <x:v>BP CONNECT WANAKA</x:v>
      </x:c>
      <x:c r="D60" s="9" t="str">
        <x:v>5996</x:v>
      </x:c>
      <x:c r="E60" s="9" t="str">
        <x:v>WANAKA</x:v>
      </x:c>
      <x:c r="F60" s="9" t="str">
        <x:v>492102091650</x:v>
      </x:c>
      <x:c r="G60" s="9" t="str">
        <x:v>POS</x:v>
      </x:c>
      <x:c r="H60" s="9" t="str">
        <x:v>---</x:v>
      </x:c>
      <x:c r="I60" s="9" t="str">
        <x:v>Not imported</x:v>
      </x:c>
      <x:c r="J60" s="9" t="str">
        <x:v>GST purchase included</x:v>
      </x:c>
      <x:c r="K60" s="9" t="str">
        <x:v>Business purchase.</x:v>
      </x:c>
      <x:c r="L60" s="9" t="str">
        <x:v>sz01l8</x:v>
      </x:c>
      <x:c r="M60" s="9" t="str">
        <x:v>BNZ only</x:v>
      </x:c>
      <x:c r="N60" s="9" t="str">
        <x:v>See ledger</x:v>
      </x:c>
    </x:row>
    <x:row r="61">
      <x:c r="A61" s="10" t="n">
        <x:v>46061.958333333336</x:v>
      </x:c>
      <x:c r="B61" s="11" t="n">
        <x:v>-10</x:v>
      </x:c>
      <x:c r="C61" s="9" t="str">
        <x:v>PATAGONIA WANAKA</x:v>
      </x:c>
      <x:c r="D61" s="9" t="str">
        <x:v>5996</x:v>
      </x:c>
      <x:c r="E61" s="9" t="str">
        <x:v>WANAKA</x:v>
      </x:c>
      <x:c r="F61" s="9" t="str">
        <x:v>434667091305</x:v>
      </x:c>
      <x:c r="G61" s="9" t="str">
        <x:v>POS</x:v>
      </x:c>
      <x:c r="H61" s="9" t="str">
        <x:v>---</x:v>
      </x:c>
      <x:c r="I61" s="9" t="str">
        <x:v>Not imported</x:v>
      </x:c>
      <x:c r="J61" s="9" t="str">
        <x:v>Excluded</x:v>
      </x:c>
      <x:c r="K61" s="9" t="str">
        <x:v>Personal, transfer, tax, cash withdrawal, food or entertainment; no GST claim.</x:v>
      </x:c>
      <x:c r="L61" s="9" t="str">
        <x:v>qqftmc</x:v>
      </x:c>
      <x:c r="M61" s="9" t="str">
        <x:v>BNZ only</x:v>
      </x:c>
      <x:c r="N61" s="9" t="str">
        <x:v>No</x:v>
      </x:c>
    </x:row>
    <x:row r="62">
      <x:c r="A62" s="10" t="n">
        <x:v>46061.958333333336</x:v>
      </x:c>
      <x:c r="B62" s="11" t="n">
        <x:v>-39.68</x:v>
      </x:c>
      <x:c r="C62" s="9" t="str">
        <x:v>OPENAI *CHATGPT SUBS</x:v>
      </x:c>
      <x:c r="D62" s="9" t="str">
        <x:v>5996</x:v>
      </x:c>
      <x:c r="E62" s="9" t="str">
        <x:v>OPENAI.COM</x:v>
      </x:c>
      <x:c r="F62" s="9" t="str">
        <x:v>449216092211</x:v>
      </x:c>
      <x:c r="G62" s="9" t="str">
        <x:v>POS</x:v>
      </x:c>
      <x:c r="H62" s="9" t="str">
        <x:v>---</x:v>
      </x:c>
      <x:c r="I62" s="9" t="str">
        <x:v>Not imported</x:v>
      </x:c>
      <x:c r="J62" s="9" t="str">
        <x:v>GST purchase included</x:v>
      </x:c>
      <x:c r="K62" s="9" t="str">
        <x:v>Included provisionally; overseas software is claimable only if NZ GST was actually charged.</x:v>
      </x:c>
      <x:c r="L62" s="9" t="str">
        <x:v>thqu8j</x:v>
      </x:c>
      <x:c r="M62" s="9" t="str">
        <x:v>BNZ only</x:v>
      </x:c>
      <x:c r="N62" s="9" t="str">
        <x:v>See ledger</x:v>
      </x:c>
    </x:row>
    <x:row r="63">
      <x:c r="A63" s="10" t="n">
        <x:v>46063.958333333336</x:v>
      </x:c>
      <x:c r="B63" s="11" t="n">
        <x:v>-2.4</x:v>
      </x:c>
      <x:c r="C63" s="9" t="str">
        <x:v>PAPER PLUS WANAKA</x:v>
      </x:c>
      <x:c r="D63" s="9" t="str">
        <x:v>5996</x:v>
      </x:c>
      <x:c r="E63" s="9" t="str">
        <x:v>WANAKA</x:v>
      </x:c>
      <x:c r="F63" s="9" t="str">
        <x:v>455046111733</x:v>
      </x:c>
      <x:c r="G63" s="9" t="str">
        <x:v>POS</x:v>
      </x:c>
      <x:c r="H63" s="9" t="str">
        <x:v>---</x:v>
      </x:c>
      <x:c r="I63" s="9" t="str">
        <x:v>Not imported</x:v>
      </x:c>
      <x:c r="J63" s="9" t="str">
        <x:v>Review / excluded by default</x:v>
      </x:c>
      <x:c r="K63" s="9" t="str">
        <x:v>Not clearly business or GST-bearing from the available records.</x:v>
      </x:c>
      <x:c r="L63" s="9" t="str">
        <x:v>mhqjlq</x:v>
      </x:c>
      <x:c r="M63" s="9" t="str">
        <x:v>BNZ only</x:v>
      </x:c>
      <x:c r="N63" s="9" t="str">
        <x:v>No</x:v>
      </x:c>
    </x:row>
    <x:row r="64">
      <x:c r="A64" s="10" t="n">
        <x:v>46063.958333333336</x:v>
      </x:c>
      <x:c r="B64" s="11" t="n">
        <x:v>-25.49</x:v>
      </x:c>
      <x:c r="C64" s="9" t="str">
        <x:v>Spotify P3F3E5AD21</x:v>
      </x:c>
      <x:c r="D64" s="9" t="str">
        <x:v>5996</x:v>
      </x:c>
      <x:c r="E64" s="9" t="str">
        <x:v>Stockholm</x:v>
      </x:c>
      <x:c r="F64" s="9" t="str">
        <x:v>487115112155</x:v>
      </x:c>
      <x:c r="G64" s="9" t="str">
        <x:v>POS</x:v>
      </x:c>
      <x:c r="H64" s="9" t="str">
        <x:v>---</x:v>
      </x:c>
      <x:c r="I64" s="9" t="str">
        <x:v>Not imported</x:v>
      </x:c>
      <x:c r="J64" s="9" t="str">
        <x:v>Excluded</x:v>
      </x:c>
      <x:c r="K64" s="9" t="str">
        <x:v>Personal, transfer, tax, cash withdrawal, food or entertainment; no GST claim.</x:v>
      </x:c>
      <x:c r="L64" s="9" t="str">
        <x:v>cqod1e</x:v>
      </x:c>
      <x:c r="M64" s="9" t="str">
        <x:v>BNZ only</x:v>
      </x:c>
      <x:c r="N64" s="9" t="str">
        <x:v>No</x:v>
      </x:c>
    </x:row>
    <x:row r="65">
      <x:c r="A65" s="10" t="n">
        <x:v>46066.958333333336</x:v>
      </x:c>
      <x:c r="B65" s="11" t="n">
        <x:v>-1201.86</x:v>
      </x:c>
      <x:c r="C65" s="9" t="str">
        <x:v>WWW.TRADEMAX.CO.NZ</x:v>
      </x:c>
      <x:c r="D65" s="9" t="str">
        <x:v>5996</x:v>
      </x:c>
      <x:c r="E65" s="9" t="str">
        <x:v>DUNEDIN</x:v>
      </x:c>
      <x:c r="F65" s="9" t="str">
        <x:v>448131131427</x:v>
      </x:c>
      <x:c r="G65" s="9" t="str">
        <x:v>POS</x:v>
      </x:c>
      <x:c r="H65" s="9" t="str">
        <x:v>---</x:v>
      </x:c>
      <x:c r="I65" s="9" t="str">
        <x:v>Not imported</x:v>
      </x:c>
      <x:c r="J65" s="9" t="str">
        <x:v>GST purchase included</x:v>
      </x:c>
      <x:c r="K65" s="9" t="str">
        <x:v>Business purchase.</x:v>
      </x:c>
      <x:c r="L65" s="9" t="str">
        <x:v>97nbao</x:v>
      </x:c>
      <x:c r="M65" s="9" t="str">
        <x:v>BNZ only</x:v>
      </x:c>
      <x:c r="N65" s="9" t="str">
        <x:v>See ledger</x:v>
      </x:c>
    </x:row>
    <x:row r="66">
      <x:c r="A66" s="10" t="n">
        <x:v>46066.958333333336</x:v>
      </x:c>
      <x:c r="B66" s="11" t="n">
        <x:v>-216.85</x:v>
      </x:c>
      <x:c r="C66" s="9" t="str">
        <x:v>Dulux</x:v>
      </x:c>
      <x:c r="D66" s="9" t="str"/>
      <x:c r="E66" s="9" t="str"/>
      <x:c r="F66" s="9" t="str"/>
      <x:c r="G66" s="9" t="str">
        <x:v>BP</x:v>
      </x:c>
      <x:c r="H66" s="9" t="str">
        <x:v>03-0502-0287662-00</x:v>
      </x:c>
      <x:c r="I66" s="9" t="str">
        <x:v>Not imported</x:v>
      </x:c>
      <x:c r="J66" s="9" t="str">
        <x:v>GST purchase included</x:v>
      </x:c>
      <x:c r="K66" s="9" t="str">
        <x:v>Business purchase.</x:v>
      </x:c>
      <x:c r="L66" s="9" t="str">
        <x:v>eexw4t</x:v>
      </x:c>
      <x:c r="M66" s="9" t="str">
        <x:v>BNZ only</x:v>
      </x:c>
      <x:c r="N66" s="9" t="str">
        <x:v>See ledger</x:v>
      </x:c>
    </x:row>
    <x:row r="67">
      <x:c r="A67" s="10" t="n">
        <x:v>46066.958333333336</x:v>
      </x:c>
      <x:c r="B67" s="11" t="n">
        <x:v>-151.86</x:v>
      </x:c>
      <x:c r="C67" s="9" t="str">
        <x:v>ONE NZ</x:v>
      </x:c>
      <x:c r="D67" s="9" t="str">
        <x:v>5996</x:v>
      </x:c>
      <x:c r="E67" s="9" t="str">
        <x:v>AUCKLAND</x:v>
      </x:c>
      <x:c r="F67" s="9" t="str">
        <x:v>432129140854</x:v>
      </x:c>
      <x:c r="G67" s="9" t="str">
        <x:v>POS</x:v>
      </x:c>
      <x:c r="H67" s="9" t="str">
        <x:v>---</x:v>
      </x:c>
      <x:c r="I67" s="9" t="str">
        <x:v>Not imported</x:v>
      </x:c>
      <x:c r="J67" s="9" t="str">
        <x:v>GST purchase included</x:v>
      </x:c>
      <x:c r="K67" s="9" t="str">
        <x:v>Business purchase.</x:v>
      </x:c>
      <x:c r="L67" s="9" t="str">
        <x:v>8ggz9u</x:v>
      </x:c>
      <x:c r="M67" s="9" t="str">
        <x:v>BNZ only</x:v>
      </x:c>
      <x:c r="N67" s="9" t="str">
        <x:v>See ledger</x:v>
      </x:c>
    </x:row>
    <x:row r="68">
      <x:c r="A68" s="10" t="n">
        <x:v>46066.958333333336</x:v>
      </x:c>
      <x:c r="B68" s="11" t="n">
        <x:v>-6.15</x:v>
      </x:c>
      <x:c r="C68" s="9" t="str">
        <x:v>CINEMA PARADISO</x:v>
      </x:c>
      <x:c r="D68" s="9" t="str">
        <x:v>5996</x:v>
      </x:c>
      <x:c r="E68" s="9" t="str">
        <x:v>WANAKA</x:v>
      </x:c>
      <x:c r="F68" s="9" t="str">
        <x:v>434667141219</x:v>
      </x:c>
      <x:c r="G68" s="9" t="str">
        <x:v>POS</x:v>
      </x:c>
      <x:c r="H68" s="9" t="str">
        <x:v>---</x:v>
      </x:c>
      <x:c r="I68" s="9" t="str">
        <x:v>Not imported</x:v>
      </x:c>
      <x:c r="J68" s="9" t="str">
        <x:v>Excluded</x:v>
      </x:c>
      <x:c r="K68" s="9" t="str">
        <x:v>Personal, transfer, tax, cash withdrawal, food or entertainment; no GST claim.</x:v>
      </x:c>
      <x:c r="L68" s="9" t="str">
        <x:v>frgu8s</x:v>
      </x:c>
      <x:c r="M68" s="9" t="str">
        <x:v>BNZ only</x:v>
      </x:c>
      <x:c r="N68" s="9" t="str">
        <x:v>No</x:v>
      </x:c>
    </x:row>
    <x:row r="69">
      <x:c r="A69" s="10" t="n">
        <x:v>46066.958333333336</x:v>
      </x:c>
      <x:c r="B69" s="11" t="n">
        <x:v>-34</x:v>
      </x:c>
      <x:c r="C69" s="9" t="str">
        <x:v>Paddle &amp; Pint</x:v>
      </x:c>
      <x:c r="D69" s="9" t="str">
        <x:v>5996</x:v>
      </x:c>
      <x:c r="E69" s="9" t="str">
        <x:v>Wanaka</x:v>
      </x:c>
      <x:c r="F69" s="9" t="str">
        <x:v>420549141455</x:v>
      </x:c>
      <x:c r="G69" s="9" t="str">
        <x:v>POS</x:v>
      </x:c>
      <x:c r="H69" s="9" t="str">
        <x:v>---</x:v>
      </x:c>
      <x:c r="I69" s="9" t="str">
        <x:v>Not imported</x:v>
      </x:c>
      <x:c r="J69" s="9" t="str">
        <x:v>Excluded</x:v>
      </x:c>
      <x:c r="K69" s="9" t="str">
        <x:v>Personal, transfer, tax, cash withdrawal, food or entertainment; no GST claim.</x:v>
      </x:c>
      <x:c r="L69" s="9" t="str">
        <x:v>qf4fg6</x:v>
      </x:c>
      <x:c r="M69" s="9" t="str">
        <x:v>BNZ only</x:v>
      </x:c>
      <x:c r="N69" s="9" t="str">
        <x:v>No</x:v>
      </x:c>
    </x:row>
    <x:row r="70">
      <x:c r="A70" s="10" t="n">
        <x:v>46067.958333333336</x:v>
      </x:c>
      <x:c r="B70" s="11" t="n">
        <x:v>375</x:v>
      </x:c>
      <x:c r="C70" s="9" t="str">
        <x:v>CREONTE TAHUNA</x:v>
      </x:c>
      <x:c r="D70" s="9" t="str">
        <x:v>Creonte</x:v>
      </x:c>
      <x:c r="E70" s="9" t="str">
        <x:v>Tahuna</x:v>
      </x:c>
      <x:c r="F70" s="9" t="str">
        <x:v>2601</x:v>
      </x:c>
      <x:c r="G70" s="9" t="str">
        <x:v>BP</x:v>
      </x:c>
      <x:c r="H70" s="9" t="str">
        <x:v>02-0673-0177943-00</x:v>
      </x:c>
      <x:c r="I70" s="9" t="str">
        <x:v>Not imported</x:v>
      </x:c>
      <x:c r="J70" s="9" t="str">
        <x:v>Excluded transfer/personal</x:v>
      </x:c>
      <x:c r="K70" s="9" t="str"/>
      <x:c r="L70" s="9" t="str">
        <x:v>7azbxk</x:v>
      </x:c>
      <x:c r="M70" s="9" t="str">
        <x:v>BNZ only</x:v>
      </x:c>
      <x:c r="N70" s="9" t="str">
        <x:v>No</x:v>
      </x:c>
    </x:row>
    <x:row r="71">
      <x:c r="A71" s="10" t="n">
        <x:v>46067.958333333336</x:v>
      </x:c>
      <x:c r="B71" s="11" t="n">
        <x:v>-62.56</x:v>
      </x:c>
      <x:c r="C71" s="9" t="str">
        <x:v>BP CONNECT WANAKA</x:v>
      </x:c>
      <x:c r="D71" s="9" t="str">
        <x:v>5996</x:v>
      </x:c>
      <x:c r="E71" s="9" t="str">
        <x:v>WANAKA</x:v>
      </x:c>
      <x:c r="F71" s="9" t="str">
        <x:v>492102151054</x:v>
      </x:c>
      <x:c r="G71" s="9" t="str">
        <x:v>POS</x:v>
      </x:c>
      <x:c r="H71" s="9" t="str">
        <x:v>---</x:v>
      </x:c>
      <x:c r="I71" s="9" t="str">
        <x:v>Not imported</x:v>
      </x:c>
      <x:c r="J71" s="9" t="str">
        <x:v>GST purchase included</x:v>
      </x:c>
      <x:c r="K71" s="9" t="str">
        <x:v>Business purchase.</x:v>
      </x:c>
      <x:c r="L71" s="9" t="str">
        <x:v>9ztxx9</x:v>
      </x:c>
      <x:c r="M71" s="9" t="str">
        <x:v>BNZ only</x:v>
      </x:c>
      <x:c r="N71" s="9" t="str">
        <x:v>See ledger</x:v>
      </x:c>
    </x:row>
    <x:row r="72">
      <x:c r="A72" s="10" t="n">
        <x:v>46067.958333333336</x:v>
      </x:c>
      <x:c r="B72" s="11" t="n">
        <x:v>1086.75</x:v>
      </x:c>
      <x:c r="C72" s="9" t="str">
        <x:v>NICHOLSON  TD &amp;</x:v>
      </x:c>
      <x:c r="D72" s="9" t="str">
        <x:v>4 perrow st</x:v>
      </x:c>
      <x:c r="E72" s="9" t="str">
        <x:v>Gables</x:v>
      </x:c>
      <x:c r="F72" s="9" t="str">
        <x:v>Nicholson</x:v>
      </x:c>
      <x:c r="G72" s="9" t="str">
        <x:v>BP</x:v>
      </x:c>
      <x:c r="H72" s="9" t="str">
        <x:v>02-1269-0043681-01</x:v>
      </x:c>
      <x:c r="I72" s="9" t="str">
        <x:v>Not imported</x:v>
      </x:c>
      <x:c r="J72" s="9" t="str">
        <x:v>Taxable customer receipt</x:v>
      </x:c>
      <x:c r="K72" s="9" t="str"/>
      <x:c r="L72" s="9" t="str">
        <x:v>dsufyc</x:v>
      </x:c>
      <x:c r="M72" s="9" t="str">
        <x:v>BNZ only</x:v>
      </x:c>
      <x:c r="N72" s="9" t="str">
        <x:v>See ledger</x:v>
      </x:c>
    </x:row>
    <x:row r="73">
      <x:c r="A73" s="10" t="n">
        <x:v>46068.958333333336</x:v>
      </x:c>
      <x:c r="B73" s="11" t="n">
        <x:v>-89</x:v>
      </x:c>
      <x:c r="C73" s="9" t="str">
        <x:v>NZAA ONLINE MEMBERSH</x:v>
      </x:c>
      <x:c r="D73" s="9" t="str">
        <x:v>5996</x:v>
      </x:c>
      <x:c r="E73" s="9" t="str">
        <x:v>AUCKLAND</x:v>
      </x:c>
      <x:c r="F73" s="9" t="str">
        <x:v>492102161647</x:v>
      </x:c>
      <x:c r="G73" s="9" t="str">
        <x:v>POS</x:v>
      </x:c>
      <x:c r="H73" s="9" t="str">
        <x:v>---</x:v>
      </x:c>
      <x:c r="I73" s="9" t="str">
        <x:v>Not imported</x:v>
      </x:c>
      <x:c r="J73" s="9" t="str">
        <x:v>Review / excluded by default</x:v>
      </x:c>
      <x:c r="K73" s="9" t="str">
        <x:v>Roadside membership excluded pending confirmation it relates to the business vehicle and GST was charged.</x:v>
      </x:c>
      <x:c r="L73" s="9" t="str">
        <x:v>uu0jvc</x:v>
      </x:c>
      <x:c r="M73" s="9" t="str">
        <x:v>BNZ only</x:v>
      </x:c>
      <x:c r="N73" s="9" t="str">
        <x:v>No</x:v>
      </x:c>
    </x:row>
    <x:row r="74">
      <x:c r="A74" s="10" t="n">
        <x:v>46068.958333333336</x:v>
      </x:c>
      <x:c r="B74" s="11" t="n">
        <x:v>-294.48</x:v>
      </x:c>
      <x:c r="C74" s="9" t="str">
        <x:v>Wanaka Auto Repairs</x:v>
      </x:c>
      <x:c r="D74" s="9" t="str">
        <x:v>554447505996</x:v>
      </x:c>
      <x:c r="E74" s="9" t="str">
        <x:v>Wanaka</x:v>
      </x:c>
      <x:c r="F74" s="9" t="str">
        <x:v>0499161238</x:v>
      </x:c>
      <x:c r="G74" s="9" t="str">
        <x:v>POS</x:v>
      </x:c>
      <x:c r="H74" s="9" t="str">
        <x:v>---</x:v>
      </x:c>
      <x:c r="I74" s="9" t="str">
        <x:v>Not imported</x:v>
      </x:c>
      <x:c r="J74" s="9" t="str">
        <x:v>GST purchase included</x:v>
      </x:c>
      <x:c r="K74" s="9" t="str">
        <x:v>Business purchase.</x:v>
      </x:c>
      <x:c r="L74" s="9" t="str">
        <x:v>6210fo</x:v>
      </x:c>
      <x:c r="M74" s="9" t="str">
        <x:v>BNZ only</x:v>
      </x:c>
      <x:c r="N74" s="9" t="str">
        <x:v>See ledger</x:v>
      </x:c>
    </x:row>
    <x:row r="75">
      <x:c r="A75" s="10" t="n">
        <x:v>46070.958333333336</x:v>
      </x:c>
      <x:c r="B75" s="11" t="n">
        <x:v>-180.25</x:v>
      </x:c>
      <x:c r="C75" s="9" t="str">
        <x:v>Resene - Wanaka 087</x:v>
      </x:c>
      <x:c r="D75" s="9" t="str">
        <x:v>5996</x:v>
      </x:c>
      <x:c r="E75" s="9" t="str">
        <x:v>Wanaka</x:v>
      </x:c>
      <x:c r="F75" s="9" t="str">
        <x:v>420549181421</x:v>
      </x:c>
      <x:c r="G75" s="9" t="str">
        <x:v>POS</x:v>
      </x:c>
      <x:c r="H75" s="9" t="str">
        <x:v>---</x:v>
      </x:c>
      <x:c r="I75" s="9" t="str">
        <x:v>Not imported</x:v>
      </x:c>
      <x:c r="J75" s="9" t="str">
        <x:v>GST purchase included</x:v>
      </x:c>
      <x:c r="K75" s="9" t="str">
        <x:v>Business purchase.</x:v>
      </x:c>
      <x:c r="L75" s="9" t="str">
        <x:v>3udoyu</x:v>
      </x:c>
      <x:c r="M75" s="9" t="str">
        <x:v>BNZ only</x:v>
      </x:c>
      <x:c r="N75" s="9" t="str">
        <x:v>See ledger</x:v>
      </x:c>
    </x:row>
    <x:row r="76">
      <x:c r="A76" s="10" t="n">
        <x:v>46070.958333333336</x:v>
      </x:c>
      <x:c r="B76" s="11" t="n">
        <x:v>-13.96</x:v>
      </x:c>
      <x:c r="C76" s="9" t="str">
        <x:v>MITRE 10 MEGA WANAKA</x:v>
      </x:c>
      <x:c r="D76" s="9" t="str">
        <x:v>5996</x:v>
      </x:c>
      <x:c r="E76" s="9" t="str">
        <x:v>WANAKA</x:v>
      </x:c>
      <x:c r="F76" s="9" t="str">
        <x:v>434667181514</x:v>
      </x:c>
      <x:c r="G76" s="9" t="str">
        <x:v>POS</x:v>
      </x:c>
      <x:c r="H76" s="9" t="str">
        <x:v>---</x:v>
      </x:c>
      <x:c r="I76" s="9" t="str">
        <x:v>Not imported</x:v>
      </x:c>
      <x:c r="J76" s="9" t="str">
        <x:v>GST purchase included</x:v>
      </x:c>
      <x:c r="K76" s="9" t="str">
        <x:v>Business purchase.</x:v>
      </x:c>
      <x:c r="L76" s="9" t="str">
        <x:v>skn4sw</x:v>
      </x:c>
      <x:c r="M76" s="9" t="str">
        <x:v>BNZ only</x:v>
      </x:c>
      <x:c r="N76" s="9" t="str">
        <x:v>See ledger</x:v>
      </x:c>
    </x:row>
    <x:row r="77">
      <x:c r="A77" s="10" t="n">
        <x:v>46070.958333333336</x:v>
      </x:c>
      <x:c r="B77" s="11" t="n">
        <x:v>-500</x:v>
      </x:c>
      <x:c r="C77" s="9" t="str">
        <x:v>YouMoney</x:v>
      </x:c>
      <x:c r="D77" s="9" t="str"/>
      <x:c r="E77" s="9" t="str"/>
      <x:c r="F77" s="9" t="str">
        <x:v>INTERNET XFR</x:v>
      </x:c>
      <x:c r="G77" s="9" t="str">
        <x:v>FT</x:v>
      </x:c>
      <x:c r="H77" s="9" t="str">
        <x:v>02-0568-0080488-83</x:v>
      </x:c>
      <x:c r="I77" s="9" t="str">
        <x:v>Not imported</x:v>
      </x:c>
      <x:c r="J77" s="9" t="str">
        <x:v>Excluded</x:v>
      </x:c>
      <x:c r="K77" s="9" t="str">
        <x:v>Personal, transfer, tax, cash withdrawal, food or entertainment; no GST claim.</x:v>
      </x:c>
      <x:c r="L77" s="9" t="str">
        <x:v>awlfji</x:v>
      </x:c>
      <x:c r="M77" s="9" t="str">
        <x:v>BNZ only</x:v>
      </x:c>
      <x:c r="N77" s="9" t="str">
        <x:v>No</x:v>
      </x:c>
    </x:row>
    <x:row r="78">
      <x:c r="A78" s="10" t="n">
        <x:v>46072.958333333336</x:v>
      </x:c>
      <x:c r="B78" s="11" t="n">
        <x:v>-23.75</x:v>
      </x:c>
      <x:c r="C78" s="9" t="str">
        <x:v>THE BAKERY FACTORY S</x:v>
      </x:c>
      <x:c r="D78" s="9" t="str">
        <x:v>5996</x:v>
      </x:c>
      <x:c r="E78" s="9" t="str">
        <x:v>WANAKA</x:v>
      </x:c>
      <x:c r="F78" s="9" t="str">
        <x:v>455046201816</x:v>
      </x:c>
      <x:c r="G78" s="9" t="str">
        <x:v>POS</x:v>
      </x:c>
      <x:c r="H78" s="9" t="str">
        <x:v>---</x:v>
      </x:c>
      <x:c r="I78" s="9" t="str">
        <x:v>Not imported</x:v>
      </x:c>
      <x:c r="J78" s="9" t="str">
        <x:v>Excluded</x:v>
      </x:c>
      <x:c r="K78" s="9" t="str">
        <x:v>Personal, transfer, tax, cash withdrawal, food or entertainment; no GST claim.</x:v>
      </x:c>
      <x:c r="L78" s="9" t="str">
        <x:v>jiyjtm</x:v>
      </x:c>
      <x:c r="M78" s="9" t="str">
        <x:v>BNZ only</x:v>
      </x:c>
      <x:c r="N78" s="9" t="str">
        <x:v>No</x:v>
      </x:c>
    </x:row>
    <x:row r="79">
      <x:c r="A79" s="10" t="n">
        <x:v>46072.958333333336</x:v>
      </x:c>
      <x:c r="B79" s="11" t="n">
        <x:v>-31.97</x:v>
      </x:c>
      <x:c r="C79" s="9" t="str">
        <x:v>Liquorland Albert To</x:v>
      </x:c>
      <x:c r="D79" s="9" t="str">
        <x:v>5996</x:v>
      </x:c>
      <x:c r="E79" s="9" t="str">
        <x:v>Wanaka</x:v>
      </x:c>
      <x:c r="F79" s="9" t="str">
        <x:v>420549201711</x:v>
      </x:c>
      <x:c r="G79" s="9" t="str">
        <x:v>POS</x:v>
      </x:c>
      <x:c r="H79" s="9" t="str">
        <x:v>---</x:v>
      </x:c>
      <x:c r="I79" s="9" t="str">
        <x:v>Not imported</x:v>
      </x:c>
      <x:c r="J79" s="9" t="str">
        <x:v>Excluded</x:v>
      </x:c>
      <x:c r="K79" s="9" t="str">
        <x:v>Personal, transfer, tax, cash withdrawal, food or entertainment; no GST claim.</x:v>
      </x:c>
      <x:c r="L79" s="9" t="str">
        <x:v>gz9qjf</x:v>
      </x:c>
      <x:c r="M79" s="9" t="str">
        <x:v>BNZ only</x:v>
      </x:c>
      <x:c r="N79" s="9" t="str">
        <x:v>No</x:v>
      </x:c>
    </x:row>
    <x:row r="80">
      <x:c r="A80" s="10" t="n">
        <x:v>46073.958333333336</x:v>
      </x:c>
      <x:c r="B80" s="11" t="n">
        <x:v>-40.48</x:v>
      </x:c>
      <x:c r="C80" s="9" t="str">
        <x:v>THE ALBIE</x:v>
      </x:c>
      <x:c r="D80" s="9" t="str">
        <x:v>5996</x:v>
      </x:c>
      <x:c r="E80" s="9" t="str">
        <x:v>WANAKA</x:v>
      </x:c>
      <x:c r="F80" s="9" t="str">
        <x:v>434667211622</x:v>
      </x:c>
      <x:c r="G80" s="9" t="str">
        <x:v>POS</x:v>
      </x:c>
      <x:c r="H80" s="9" t="str">
        <x:v>---</x:v>
      </x:c>
      <x:c r="I80" s="9" t="str">
        <x:v>Not imported</x:v>
      </x:c>
      <x:c r="J80" s="9" t="str">
        <x:v>Excluded</x:v>
      </x:c>
      <x:c r="K80" s="9" t="str">
        <x:v>Personal, transfer, tax, cash withdrawal, food or entertainment; no GST claim.</x:v>
      </x:c>
      <x:c r="L80" s="9" t="str">
        <x:v>1dtmnk</x:v>
      </x:c>
      <x:c r="M80" s="9" t="str">
        <x:v>BNZ only</x:v>
      </x:c>
      <x:c r="N80" s="9" t="str">
        <x:v>No</x:v>
      </x:c>
    </x:row>
    <x:row r="81">
      <x:c r="A81" s="10" t="n">
        <x:v>46073.958333333336</x:v>
      </x:c>
      <x:c r="B81" s="11" t="n">
        <x:v>977.5</x:v>
      </x:c>
      <x:c r="C81" s="9" t="str">
        <x:v>IVY LANE COTT</x:v>
      </x:c>
      <x:c r="D81" s="9" t="str">
        <x:v>Hilarywaller</x:v>
      </x:c>
      <x:c r="E81" s="9" t="str">
        <x:v>Deposit</x:v>
      </x:c>
      <x:c r="F81" s="9" t="str">
        <x:v>1Ivy Lane</x:v>
      </x:c>
      <x:c r="G81" s="9" t="str">
        <x:v>BP</x:v>
      </x:c>
      <x:c r="H81" s="9" t="str">
        <x:v>06-0925-0899759-00</x:v>
      </x:c>
      <x:c r="I81" s="9" t="str">
        <x:v>Not imported</x:v>
      </x:c>
      <x:c r="J81" s="9" t="str">
        <x:v>Taxable customer receipt</x:v>
      </x:c>
      <x:c r="K81" s="9" t="str"/>
      <x:c r="L81" s="9" t="str">
        <x:v>lscy0z</x:v>
      </x:c>
      <x:c r="M81" s="9" t="str">
        <x:v>BNZ only</x:v>
      </x:c>
      <x:c r="N81" s="9" t="str">
        <x:v>See ledger</x:v>
      </x:c>
    </x:row>
    <x:row r="82">
      <x:c r="A82" s="10" t="n">
        <x:v>46074.958333333336</x:v>
      </x:c>
      <x:c r="B82" s="11" t="n">
        <x:v>-400</x:v>
      </x:c>
      <x:c r="C82" s="9" t="str">
        <x:v>YouMoney</x:v>
      </x:c>
      <x:c r="D82" s="9" t="str"/>
      <x:c r="E82" s="9" t="str"/>
      <x:c r="F82" s="9" t="str">
        <x:v>INTERNET XFR</x:v>
      </x:c>
      <x:c r="G82" s="9" t="str">
        <x:v>FT</x:v>
      </x:c>
      <x:c r="H82" s="9" t="str">
        <x:v>02-0568-0080488-83</x:v>
      </x:c>
      <x:c r="I82" s="9" t="str">
        <x:v>Not imported</x:v>
      </x:c>
      <x:c r="J82" s="9" t="str">
        <x:v>Excluded</x:v>
      </x:c>
      <x:c r="K82" s="9" t="str">
        <x:v>Personal, transfer, tax, cash withdrawal, food or entertainment; no GST claim.</x:v>
      </x:c>
      <x:c r="L82" s="9" t="str">
        <x:v>l7ax10</x:v>
      </x:c>
      <x:c r="M82" s="9" t="str">
        <x:v>BNZ only</x:v>
      </x:c>
      <x:c r="N82" s="9" t="str">
        <x:v>No</x:v>
      </x:c>
    </x:row>
    <x:row r="83">
      <x:c r="A83" s="10" t="n">
        <x:v>46074.958333333336</x:v>
      </x:c>
      <x:c r="B83" s="11" t="n">
        <x:v>-33.41</x:v>
      </x:c>
      <x:c r="C83" s="9" t="str">
        <x:v>BP CONNECT WANAKA</x:v>
      </x:c>
      <x:c r="D83" s="9" t="str">
        <x:v>5996</x:v>
      </x:c>
      <x:c r="E83" s="9" t="str">
        <x:v>WANAKA</x:v>
      </x:c>
      <x:c r="F83" s="9" t="str">
        <x:v>492102221009</x:v>
      </x:c>
      <x:c r="G83" s="9" t="str">
        <x:v>POS</x:v>
      </x:c>
      <x:c r="H83" s="9" t="str">
        <x:v>---</x:v>
      </x:c>
      <x:c r="I83" s="9" t="str">
        <x:v>Not imported</x:v>
      </x:c>
      <x:c r="J83" s="9" t="str">
        <x:v>GST purchase included</x:v>
      </x:c>
      <x:c r="K83" s="9" t="str">
        <x:v>Business purchase.</x:v>
      </x:c>
      <x:c r="L83" s="9" t="str">
        <x:v>yms3gx</x:v>
      </x:c>
      <x:c r="M83" s="9" t="str">
        <x:v>BNZ only</x:v>
      </x:c>
      <x:c r="N83" s="9" t="str">
        <x:v>See ledger</x:v>
      </x:c>
    </x:row>
    <x:row r="84">
      <x:c r="A84" s="10" t="n">
        <x:v>46074.958333333336</x:v>
      </x:c>
      <x:c r="B84" s="11" t="n">
        <x:v>-22</x:v>
      </x:c>
      <x:c r="C84" s="9" t="str">
        <x:v>Paddle &amp; Pint</x:v>
      </x:c>
      <x:c r="D84" s="9" t="str">
        <x:v>5996</x:v>
      </x:c>
      <x:c r="E84" s="9" t="str">
        <x:v>Wanaka</x:v>
      </x:c>
      <x:c r="F84" s="9" t="str">
        <x:v>420549221840</x:v>
      </x:c>
      <x:c r="G84" s="9" t="str">
        <x:v>POS</x:v>
      </x:c>
      <x:c r="H84" s="9" t="str">
        <x:v>---</x:v>
      </x:c>
      <x:c r="I84" s="9" t="str">
        <x:v>Not imported</x:v>
      </x:c>
      <x:c r="J84" s="9" t="str">
        <x:v>Excluded</x:v>
      </x:c>
      <x:c r="K84" s="9" t="str">
        <x:v>Personal, transfer, tax, cash withdrawal, food or entertainment; no GST claim.</x:v>
      </x:c>
      <x:c r="L84" s="9" t="str">
        <x:v>jmebf5</x:v>
      </x:c>
      <x:c r="M84" s="9" t="str">
        <x:v>BNZ only</x:v>
      </x:c>
      <x:c r="N84" s="9" t="str">
        <x:v>No</x:v>
      </x:c>
    </x:row>
    <x:row r="85">
      <x:c r="A85" s="10" t="n">
        <x:v>46075.958333333336</x:v>
      </x:c>
      <x:c r="B85" s="11" t="n">
        <x:v>-180.25</x:v>
      </x:c>
      <x:c r="C85" s="9" t="str">
        <x:v>Resene - Wanaka 087</x:v>
      </x:c>
      <x:c r="D85" s="9" t="str">
        <x:v>5996</x:v>
      </x:c>
      <x:c r="E85" s="9" t="str">
        <x:v>Wanaka</x:v>
      </x:c>
      <x:c r="F85" s="9" t="str">
        <x:v>420549230858</x:v>
      </x:c>
      <x:c r="G85" s="9" t="str">
        <x:v>POS</x:v>
      </x:c>
      <x:c r="H85" s="9" t="str">
        <x:v>---</x:v>
      </x:c>
      <x:c r="I85" s="9" t="str">
        <x:v>Not imported</x:v>
      </x:c>
      <x:c r="J85" s="9" t="str">
        <x:v>GST purchase included</x:v>
      </x:c>
      <x:c r="K85" s="9" t="str">
        <x:v>Business purchase.</x:v>
      </x:c>
      <x:c r="L85" s="9" t="str">
        <x:v>jaauaz</x:v>
      </x:c>
      <x:c r="M85" s="9" t="str">
        <x:v>BNZ only</x:v>
      </x:c>
      <x:c r="N85" s="9" t="str">
        <x:v>See ledger</x:v>
      </x:c>
    </x:row>
    <x:row r="86">
      <x:c r="A86" s="10" t="n">
        <x:v>46075.958333333336</x:v>
      </x:c>
      <x:c r="B86" s="11" t="n">
        <x:v>-19.95</x:v>
      </x:c>
      <x:c r="C86" s="9" t="str">
        <x:v>Resene - Wanaka 087</x:v>
      </x:c>
      <x:c r="D86" s="9" t="str">
        <x:v>5996</x:v>
      </x:c>
      <x:c r="E86" s="9" t="str">
        <x:v>Wanaka</x:v>
      </x:c>
      <x:c r="F86" s="9" t="str">
        <x:v>420549230900</x:v>
      </x:c>
      <x:c r="G86" s="9" t="str">
        <x:v>POS</x:v>
      </x:c>
      <x:c r="H86" s="9" t="str">
        <x:v>---</x:v>
      </x:c>
      <x:c r="I86" s="9" t="str">
        <x:v>Not imported</x:v>
      </x:c>
      <x:c r="J86" s="9" t="str">
        <x:v>GST purchase included</x:v>
      </x:c>
      <x:c r="K86" s="9" t="str">
        <x:v>Business purchase.</x:v>
      </x:c>
      <x:c r="L86" s="9" t="str">
        <x:v>ltkofd</x:v>
      </x:c>
      <x:c r="M86" s="9" t="str">
        <x:v>BNZ only</x:v>
      </x:c>
      <x:c r="N86" s="9" t="str">
        <x:v>See ledger</x:v>
      </x:c>
    </x:row>
    <x:row r="87">
      <x:c r="A87" s="10" t="n">
        <x:v>46076.958333333336</x:v>
      </x:c>
      <x:c r="B87" s="11" t="n">
        <x:v>414</x:v>
      </x:c>
      <x:c r="C87" s="9" t="str">
        <x:v>Cairns L J</x:v>
      </x:c>
      <x:c r="D87" s="9" t="str"/>
      <x:c r="E87" s="9" t="str"/>
      <x:c r="F87" s="9" t="str"/>
      <x:c r="G87" s="9" t="str">
        <x:v>DC</x:v>
      </x:c>
      <x:c r="H87" s="9" t="str">
        <x:v>03-1399-0295676-01</x:v>
      </x:c>
      <x:c r="I87" s="9" t="str">
        <x:v>Not imported</x:v>
      </x:c>
      <x:c r="J87" s="9" t="str">
        <x:v>Taxable customer receipt</x:v>
      </x:c>
      <x:c r="K87" s="9" t="str"/>
      <x:c r="L87" s="9" t="str">
        <x:v>fgooqq</x:v>
      </x:c>
      <x:c r="M87" s="9" t="str">
        <x:v>BNZ only</x:v>
      </x:c>
      <x:c r="N87" s="9" t="str">
        <x:v>See ledger</x:v>
      </x:c>
    </x:row>
    <x:row r="88">
      <x:c r="A88" s="10" t="n">
        <x:v>46076.958333333336</x:v>
      </x:c>
      <x:c r="B88" s="11" t="n">
        <x:v>-14.07</x:v>
      </x:c>
      <x:c r="C88" s="9" t="str">
        <x:v>COLUMBUSCOFFEEWANAKA</x:v>
      </x:c>
      <x:c r="D88" s="9" t="str">
        <x:v>5996</x:v>
      </x:c>
      <x:c r="E88" s="9" t="str">
        <x:v>WANAKA</x:v>
      </x:c>
      <x:c r="F88" s="9" t="str">
        <x:v>434667241537</x:v>
      </x:c>
      <x:c r="G88" s="9" t="str">
        <x:v>POS</x:v>
      </x:c>
      <x:c r="H88" s="9" t="str">
        <x:v>---</x:v>
      </x:c>
      <x:c r="I88" s="9" t="str">
        <x:v>Not imported</x:v>
      </x:c>
      <x:c r="J88" s="9" t="str">
        <x:v>Excluded</x:v>
      </x:c>
      <x:c r="K88" s="9" t="str">
        <x:v>Personal, transfer, tax, cash withdrawal, food or entertainment; no GST claim.</x:v>
      </x:c>
      <x:c r="L88" s="9" t="str">
        <x:v>1chhku</x:v>
      </x:c>
      <x:c r="M88" s="9" t="str">
        <x:v>BNZ only</x:v>
      </x:c>
      <x:c r="N88" s="9" t="str">
        <x:v>No</x:v>
      </x:c>
    </x:row>
    <x:row r="89">
      <x:c r="A89" s="10" t="n">
        <x:v>46076.958333333336</x:v>
      </x:c>
      <x:c r="B89" s="11" t="n">
        <x:v>-95.43</x:v>
      </x:c>
      <x:c r="C89" s="9" t="str">
        <x:v>MITRE 10 MEGA WANAKA</x:v>
      </x:c>
      <x:c r="D89" s="9" t="str">
        <x:v>5996</x:v>
      </x:c>
      <x:c r="E89" s="9" t="str">
        <x:v>WANAKA</x:v>
      </x:c>
      <x:c r="F89" s="9" t="str">
        <x:v>434667241543</x:v>
      </x:c>
      <x:c r="G89" s="9" t="str">
        <x:v>POS</x:v>
      </x:c>
      <x:c r="H89" s="9" t="str">
        <x:v>---</x:v>
      </x:c>
      <x:c r="I89" s="9" t="str">
        <x:v>Not imported</x:v>
      </x:c>
      <x:c r="J89" s="9" t="str">
        <x:v>GST purchase included</x:v>
      </x:c>
      <x:c r="K89" s="9" t="str">
        <x:v>Business purchase.</x:v>
      </x:c>
      <x:c r="L89" s="9" t="str">
        <x:v>bm2udu</x:v>
      </x:c>
      <x:c r="M89" s="9" t="str">
        <x:v>BNZ only</x:v>
      </x:c>
      <x:c r="N89" s="9" t="str">
        <x:v>See ledger</x:v>
      </x:c>
    </x:row>
    <x:row r="90">
      <x:c r="A90" s="10" t="n">
        <x:v>46076.958333333336</x:v>
      </x:c>
      <x:c r="B90" s="11" t="n">
        <x:v>-20.02</x:v>
      </x:c>
      <x:c r="C90" s="9" t="str">
        <x:v>Resene - Wanaka 087</x:v>
      </x:c>
      <x:c r="D90" s="9" t="str">
        <x:v>5996</x:v>
      </x:c>
      <x:c r="E90" s="9" t="str">
        <x:v>Wanaka</x:v>
      </x:c>
      <x:c r="F90" s="9" t="str">
        <x:v>420549241208</x:v>
      </x:c>
      <x:c r="G90" s="9" t="str">
        <x:v>POS</x:v>
      </x:c>
      <x:c r="H90" s="9" t="str">
        <x:v>---</x:v>
      </x:c>
      <x:c r="I90" s="9" t="str">
        <x:v>Not imported</x:v>
      </x:c>
      <x:c r="J90" s="9" t="str">
        <x:v>GST purchase included</x:v>
      </x:c>
      <x:c r="K90" s="9" t="str">
        <x:v>Business purchase.</x:v>
      </x:c>
      <x:c r="L90" s="9" t="str">
        <x:v>nwp2br</x:v>
      </x:c>
      <x:c r="M90" s="9" t="str">
        <x:v>BNZ only</x:v>
      </x:c>
      <x:c r="N90" s="9" t="str">
        <x:v>See ledger</x:v>
      </x:c>
    </x:row>
    <x:row r="91">
      <x:c r="A91" s="10" t="n">
        <x:v>46077.958333333336</x:v>
      </x:c>
      <x:c r="B91" s="11" t="n">
        <x:v>294.4</x:v>
      </x:c>
      <x:c r="C91" s="9" t="str">
        <x:v>NELSON&amp;MEAKIN</x:v>
      </x:c>
      <x:c r="D91" s="9" t="str">
        <x:v>56 Dale St</x:v>
      </x:c>
      <x:c r="E91" s="9" t="str"/>
      <x:c r="F91" s="9" t="str">
        <x:v>DanyaMeakins</x:v>
      </x:c>
      <x:c r="G91" s="9" t="str">
        <x:v>BP</x:v>
      </x:c>
      <x:c r="H91" s="9" t="str">
        <x:v>01-0867-0733098-00</x:v>
      </x:c>
      <x:c r="I91" s="9" t="str">
        <x:v>Not imported</x:v>
      </x:c>
      <x:c r="J91" s="9" t="str">
        <x:v>Taxable customer receipt</x:v>
      </x:c>
      <x:c r="K91" s="9" t="str"/>
      <x:c r="L91" s="9" t="str">
        <x:v>pf58ue</x:v>
      </x:c>
      <x:c r="M91" s="9" t="str">
        <x:v>BNZ only</x:v>
      </x:c>
      <x:c r="N91" s="9" t="str">
        <x:v>See ledger</x:v>
      </x:c>
    </x:row>
    <x:row r="92">
      <x:c r="A92" s="10" t="n">
        <x:v>46077.958333333336</x:v>
      </x:c>
      <x:c r="B92" s="11" t="n">
        <x:v>-33.38</x:v>
      </x:c>
      <x:c r="C92" s="9" t="str">
        <x:v>Resene - Wanaka 087</x:v>
      </x:c>
      <x:c r="D92" s="9" t="str">
        <x:v>5996</x:v>
      </x:c>
      <x:c r="E92" s="9" t="str">
        <x:v>Wanaka</x:v>
      </x:c>
      <x:c r="F92" s="9" t="str">
        <x:v>420549251415</x:v>
      </x:c>
      <x:c r="G92" s="9" t="str">
        <x:v>POS</x:v>
      </x:c>
      <x:c r="H92" s="9" t="str">
        <x:v>---</x:v>
      </x:c>
      <x:c r="I92" s="9" t="str">
        <x:v>Not imported</x:v>
      </x:c>
      <x:c r="J92" s="9" t="str">
        <x:v>GST purchase included</x:v>
      </x:c>
      <x:c r="K92" s="9" t="str">
        <x:v>Business purchase.</x:v>
      </x:c>
      <x:c r="L92" s="9" t="str">
        <x:v>vhgmzu</x:v>
      </x:c>
      <x:c r="M92" s="9" t="str">
        <x:v>BNZ only</x:v>
      </x:c>
      <x:c r="N92" s="9" t="str">
        <x:v>See ledger</x:v>
      </x:c>
    </x:row>
    <x:row r="93">
      <x:c r="A93" s="10" t="n">
        <x:v>46077.958333333336</x:v>
      </x:c>
      <x:c r="B93" s="11" t="n">
        <x:v>-800</x:v>
      </x:c>
      <x:c r="C93" s="9" t="str">
        <x:v>WITHDRAWAL</x:v>
      </x:c>
      <x:c r="D93" s="9" t="str">
        <x:v>554447505996</x:v>
      </x:c>
      <x:c r="E93" s="9" t="str">
        <x:v>AP - NEW WOR</x:v>
      </x:c>
      <x:c r="F93" s="9" t="str">
        <x:v>1212251655</x:v>
      </x:c>
      <x:c r="G93" s="9" t="str">
        <x:v>ATM</x:v>
      </x:c>
      <x:c r="H93" s="9" t="str">
        <x:v>---</x:v>
      </x:c>
      <x:c r="I93" s="9" t="str">
        <x:v>Not imported</x:v>
      </x:c>
      <x:c r="J93" s="9" t="str">
        <x:v>Excluded</x:v>
      </x:c>
      <x:c r="K93" s="9" t="str">
        <x:v>Personal, transfer, tax, cash withdrawal, food or entertainment; no GST claim.</x:v>
      </x:c>
      <x:c r="L93" s="9" t="str">
        <x:v>8xcd61</x:v>
      </x:c>
      <x:c r="M93" s="9" t="str">
        <x:v>BNZ only</x:v>
      </x:c>
      <x:c r="N93" s="9" t="str">
        <x:v>No</x:v>
      </x:c>
    </x:row>
    <x:row r="94">
      <x:c r="A94" s="10" t="n">
        <x:v>46077.958333333336</x:v>
      </x:c>
      <x:c r="B94" s="11" t="n">
        <x:v>-800</x:v>
      </x:c>
      <x:c r="C94" s="9" t="str">
        <x:v>WITHDRAWAL</x:v>
      </x:c>
      <x:c r="D94" s="9" t="str">
        <x:v>554447505996</x:v>
      </x:c>
      <x:c r="E94" s="9" t="str">
        <x:v>AP - NEW WOR</x:v>
      </x:c>
      <x:c r="F94" s="9" t="str">
        <x:v>1212251656</x:v>
      </x:c>
      <x:c r="G94" s="9" t="str">
        <x:v>ATM</x:v>
      </x:c>
      <x:c r="H94" s="9" t="str">
        <x:v>---</x:v>
      </x:c>
      <x:c r="I94" s="9" t="str">
        <x:v>Not imported</x:v>
      </x:c>
      <x:c r="J94" s="9" t="str">
        <x:v>Excluded</x:v>
      </x:c>
      <x:c r="K94" s="9" t="str">
        <x:v>Personal, transfer, tax, cash withdrawal, food or entertainment; no GST claim.</x:v>
      </x:c>
      <x:c r="L94" s="9" t="str">
        <x:v>8xcd62</x:v>
      </x:c>
      <x:c r="M94" s="9" t="str">
        <x:v>BNZ only</x:v>
      </x:c>
      <x:c r="N94" s="9" t="str">
        <x:v>No</x:v>
      </x:c>
    </x:row>
    <x:row r="95">
      <x:c r="A95" s="10" t="n">
        <x:v>46077.958333333336</x:v>
      </x:c>
      <x:c r="B95" s="11" t="n">
        <x:v>2000</x:v>
      </x:c>
      <x:c r="C95" s="9" t="str">
        <x:v>YouMoney</x:v>
      </x:c>
      <x:c r="D95" s="9" t="str"/>
      <x:c r="E95" s="9" t="str"/>
      <x:c r="F95" s="9" t="str">
        <x:v>INTERNET XFR</x:v>
      </x:c>
      <x:c r="G95" s="9" t="str">
        <x:v>FT</x:v>
      </x:c>
      <x:c r="H95" s="9" t="str">
        <x:v>02-0568-0080488-83</x:v>
      </x:c>
      <x:c r="I95" s="9" t="str">
        <x:v>Not imported</x:v>
      </x:c>
      <x:c r="J95" s="9" t="str">
        <x:v>Excluded transfer/personal</x:v>
      </x:c>
      <x:c r="K95" s="9" t="str"/>
      <x:c r="L95" s="9" t="str">
        <x:v>we5fqo</x:v>
      </x:c>
      <x:c r="M95" s="9" t="str">
        <x:v>BNZ only</x:v>
      </x:c>
      <x:c r="N95" s="9" t="str">
        <x:v>No</x:v>
      </x:c>
    </x:row>
    <x:row r="96">
      <x:c r="A96" s="10" t="n">
        <x:v>46077.958333333336</x:v>
      </x:c>
      <x:c r="B96" s="11" t="n">
        <x:v>-7900</x:v>
      </x:c>
      <x:c r="C96" s="9" t="str">
        <x:v>R F Builders</x:v>
      </x:c>
      <x:c r="D96" s="9" t="str"/>
      <x:c r="E96" s="9" t="str"/>
      <x:c r="F96" s="9" t="str">
        <x:v>Kaj960 van</x:v>
      </x:c>
      <x:c r="G96" s="9" t="str">
        <x:v>DC</x:v>
      </x:c>
      <x:c r="H96" s="9" t="str">
        <x:v>03-1739-0141105-01</x:v>
      </x:c>
      <x:c r="I96" s="9" t="str">
        <x:v>Not imported</x:v>
      </x:c>
      <x:c r="J96" s="9" t="str">
        <x:v>Review / excluded by default</x:v>
      </x:c>
      <x:c r="K96" s="9" t="str">
        <x:v>Possible $7,900 van purchase. Claim only if seller was GST-registered and Lakeside holds the required supply information.</x:v>
      </x:c>
      <x:c r="L96" s="9" t="str">
        <x:v>9e8r3t</x:v>
      </x:c>
      <x:c r="M96" s="9" t="str">
        <x:v>BNZ only</x:v>
      </x:c>
      <x:c r="N96" s="9" t="str">
        <x:v>No</x:v>
      </x:c>
    </x:row>
    <x:row r="97">
      <x:c r="A97" s="10" t="n">
        <x:v>46077.958333333336</x:v>
      </x:c>
      <x:c r="B97" s="11" t="n">
        <x:v>2668</x:v>
      </x:c>
      <x:c r="C97" s="9" t="str">
        <x:v>C E &amp; S S GUNN</x:v>
      </x:c>
      <x:c r="D97" s="9" t="str">
        <x:v>50 dale st</x:v>
      </x:c>
      <x:c r="E97" s="9" t="str"/>
      <x:c r="F97" s="9" t="str"/>
      <x:c r="G97" s="9" t="str">
        <x:v>BP</x:v>
      </x:c>
      <x:c r="H97" s="9" t="str">
        <x:v>38-9008-0296521-09</x:v>
      </x:c>
      <x:c r="I97" s="9" t="str">
        <x:v>Not imported</x:v>
      </x:c>
      <x:c r="J97" s="9" t="str">
        <x:v>Taxable customer receipt</x:v>
      </x:c>
      <x:c r="K97" s="9" t="str"/>
      <x:c r="L97" s="9" t="str">
        <x:v>turq0c</x:v>
      </x:c>
      <x:c r="M97" s="9" t="str">
        <x:v>BNZ only</x:v>
      </x:c>
      <x:c r="N97" s="9" t="str">
        <x:v>See ledger</x:v>
      </x:c>
    </x:row>
    <x:row r="98">
      <x:c r="A98" s="10" t="n">
        <x:v>46078.958333333336</x:v>
      </x:c>
      <x:c r="B98" s="11" t="n">
        <x:v>-130.38</x:v>
      </x:c>
      <x:c r="C98" s="9" t="str">
        <x:v>BP CONNECT WANAKA</x:v>
      </x:c>
      <x:c r="D98" s="9" t="str">
        <x:v>5996</x:v>
      </x:c>
      <x:c r="E98" s="9" t="str">
        <x:v>WANAKA</x:v>
      </x:c>
      <x:c r="F98" s="9" t="str">
        <x:v>492102261539</x:v>
      </x:c>
      <x:c r="G98" s="9" t="str">
        <x:v>POS</x:v>
      </x:c>
      <x:c r="H98" s="9" t="str">
        <x:v>---</x:v>
      </x:c>
      <x:c r="I98" s="9" t="str">
        <x:v>Not imported</x:v>
      </x:c>
      <x:c r="J98" s="9" t="str">
        <x:v>GST purchase included</x:v>
      </x:c>
      <x:c r="K98" s="9" t="str">
        <x:v>Business purchase.</x:v>
      </x:c>
      <x:c r="L98" s="9" t="str">
        <x:v>t68o9h</x:v>
      </x:c>
      <x:c r="M98" s="9" t="str">
        <x:v>BNZ only</x:v>
      </x:c>
      <x:c r="N98" s="9" t="str">
        <x:v>See ledger</x:v>
      </x:c>
    </x:row>
    <x:row r="99">
      <x:c r="A99" s="10" t="n">
        <x:v>46078.958333333336</x:v>
      </x:c>
      <x:c r="B99" s="11" t="n">
        <x:v>-5.08</x:v>
      </x:c>
      <x:c r="C99" s="9" t="str">
        <x:v>MITRE 10 CROMWELL</x:v>
      </x:c>
      <x:c r="D99" s="9" t="str">
        <x:v>5996</x:v>
      </x:c>
      <x:c r="E99" s="9" t="str">
        <x:v>CROMWELL</x:v>
      </x:c>
      <x:c r="F99" s="9" t="str">
        <x:v>434667261354</x:v>
      </x:c>
      <x:c r="G99" s="9" t="str">
        <x:v>POS</x:v>
      </x:c>
      <x:c r="H99" s="9" t="str">
        <x:v>---</x:v>
      </x:c>
      <x:c r="I99" s="9" t="str">
        <x:v>Not imported</x:v>
      </x:c>
      <x:c r="J99" s="9" t="str">
        <x:v>GST purchase included</x:v>
      </x:c>
      <x:c r="K99" s="9" t="str">
        <x:v>Business purchase.</x:v>
      </x:c>
      <x:c r="L99" s="9" t="str">
        <x:v>r3jdea</x:v>
      </x:c>
      <x:c r="M99" s="9" t="str">
        <x:v>BNZ only</x:v>
      </x:c>
      <x:c r="N99" s="9" t="str">
        <x:v>See ledger</x:v>
      </x:c>
    </x:row>
    <x:row r="100">
      <x:c r="A100" s="10" t="n">
        <x:v>46079.958333333336</x:v>
      </x:c>
      <x:c r="B100" s="11" t="n">
        <x:v>-391</x:v>
      </x:c>
      <x:c r="C100" s="9" t="str">
        <x:v>Taskhound Limited</x:v>
      </x:c>
      <x:c r="D100" s="9" t="str"/>
      <x:c r="E100" s="9" t="str"/>
      <x:c r="F100" s="9" t="str"/>
      <x:c r="G100" s="9" t="str">
        <x:v>DC</x:v>
      </x:c>
      <x:c r="H100" s="9" t="str">
        <x:v>38-9027-0333199-00</x:v>
      </x:c>
      <x:c r="I100" s="9" t="str">
        <x:v>Not imported</x:v>
      </x:c>
      <x:c r="J100" s="9" t="str">
        <x:v>GST purchase included</x:v>
      </x:c>
      <x:c r="K100" s="9" t="str">
        <x:v>Business purchase.</x:v>
      </x:c>
      <x:c r="L100" s="9" t="str">
        <x:v>q3q8hh</x:v>
      </x:c>
      <x:c r="M100" s="9" t="str">
        <x:v>BNZ only</x:v>
      </x:c>
      <x:c r="N100" s="9" t="str">
        <x:v>See ledger</x:v>
      </x:c>
    </x:row>
    <x:row r="101">
      <x:c r="A101" s="10" t="n">
        <x:v>46079.958333333336</x:v>
      </x:c>
      <x:c r="B101" s="11" t="n">
        <x:v>-1750.3</x:v>
      </x:c>
      <x:c r="C101" s="9" t="str">
        <x:v>SP TOOL JUNCTION NZ</x:v>
      </x:c>
      <x:c r="D101" s="9" t="str">
        <x:v>5996</x:v>
      </x:c>
      <x:c r="E101" s="9" t="str">
        <x:v>CHRISTCHURCH</x:v>
      </x:c>
      <x:c r="F101" s="9" t="str">
        <x:v>448131271819</x:v>
      </x:c>
      <x:c r="G101" s="9" t="str">
        <x:v>POS</x:v>
      </x:c>
      <x:c r="H101" s="9" t="str">
        <x:v>---</x:v>
      </x:c>
      <x:c r="I101" s="9" t="str">
        <x:v>Not imported</x:v>
      </x:c>
      <x:c r="J101" s="9" t="str">
        <x:v>GST purchase included</x:v>
      </x:c>
      <x:c r="K101" s="9" t="str">
        <x:v>Business purchase.</x:v>
      </x:c>
      <x:c r="L101" s="9" t="str">
        <x:v>teds8g</x:v>
      </x:c>
      <x:c r="M101" s="9" t="str">
        <x:v>BNZ only</x:v>
      </x:c>
      <x:c r="N101" s="9" t="str">
        <x:v>See ledger</x:v>
      </x:c>
    </x:row>
    <x:row r="102">
      <x:c r="A102" s="10" t="n">
        <x:v>46080.958333333336</x:v>
      </x:c>
      <x:c r="B102" s="11" t="n">
        <x:v>338.1</x:v>
      </x:c>
      <x:c r="C102" s="9" t="str">
        <x:v>Turner G A</x:v>
      </x:c>
      <x:c r="D102" s="9" t="str">
        <x:v>deposit</x:v>
      </x:c>
      <x:c r="E102" s="9" t="str">
        <x:v>Painting</x:v>
      </x:c>
      <x:c r="F102" s="9" t="str">
        <x:v>29 Tomtit</x:v>
      </x:c>
      <x:c r="G102" s="9" t="str">
        <x:v>DC</x:v>
      </x:c>
      <x:c r="H102" s="9" t="str">
        <x:v>03-1514-0046414-00</x:v>
      </x:c>
      <x:c r="I102" s="9" t="str">
        <x:v>Not imported</x:v>
      </x:c>
      <x:c r="J102" s="9" t="str">
        <x:v>Taxable customer receipt</x:v>
      </x:c>
      <x:c r="K102" s="9" t="str"/>
      <x:c r="L102" s="9" t="str">
        <x:v>shnl8i</x:v>
      </x:c>
      <x:c r="M102" s="9" t="str">
        <x:v>BNZ only</x:v>
      </x:c>
      <x:c r="N102" s="9" t="str">
        <x:v>See ledger</x:v>
      </x:c>
    </x:row>
    <x:row r="103">
      <x:c r="A103" s="10" t="n">
        <x:v>46080.958333333336</x:v>
      </x:c>
      <x:c r="B103" s="11" t="n">
        <x:v>-66.03</x:v>
      </x:c>
      <x:c r="C103" s="9" t="str">
        <x:v>THE SECRET SAUNA</x:v>
      </x:c>
      <x:c r="D103" s="9" t="str">
        <x:v>5996</x:v>
      </x:c>
      <x:c r="E103" s="9" t="str">
        <x:v>WANAKA</x:v>
      </x:c>
      <x:c r="F103" s="9" t="str">
        <x:v>448131271947</x:v>
      </x:c>
      <x:c r="G103" s="9" t="str">
        <x:v>POS</x:v>
      </x:c>
      <x:c r="H103" s="9" t="str">
        <x:v>---</x:v>
      </x:c>
      <x:c r="I103" s="9" t="str">
        <x:v>Not imported</x:v>
      </x:c>
      <x:c r="J103" s="9" t="str">
        <x:v>Excluded</x:v>
      </x:c>
      <x:c r="K103" s="9" t="str">
        <x:v>Personal, transfer, tax, cash withdrawal, food or entertainment; no GST claim.</x:v>
      </x:c>
      <x:c r="L103" s="9" t="str">
        <x:v>c9y0ce</x:v>
      </x:c>
      <x:c r="M103" s="9" t="str">
        <x:v>BNZ only</x:v>
      </x:c>
      <x:c r="N103" s="9" t="str">
        <x:v>No</x:v>
      </x:c>
    </x:row>
    <x:row r="104">
      <x:c r="A104" s="10" t="n">
        <x:v>46082.958333333336</x:v>
      </x:c>
      <x:c r="B104" s="11" t="n">
        <x:v>-49.18</x:v>
      </x:c>
      <x:c r="C104" s="9" t="str">
        <x:v>Resene - Wanaka 087</x:v>
      </x:c>
      <x:c r="D104" s="9" t="str">
        <x:v>5996</x:v>
      </x:c>
      <x:c r="E104" s="9" t="str">
        <x:v>Wanaka</x:v>
      </x:c>
      <x:c r="F104" s="9" t="str">
        <x:v>420549021203</x:v>
      </x:c>
      <x:c r="G104" s="9" t="str">
        <x:v>POS</x:v>
      </x:c>
      <x:c r="H104" s="9" t="str">
        <x:v>---</x:v>
      </x:c>
      <x:c r="I104" s="9" t="str">
        <x:v>Not imported</x:v>
      </x:c>
      <x:c r="J104" s="9" t="str">
        <x:v>GST purchase included</x:v>
      </x:c>
      <x:c r="K104" s="9" t="str">
        <x:v>Business purchase.</x:v>
      </x:c>
      <x:c r="L104" s="9" t="str">
        <x:v>l0c1l9</x:v>
      </x:c>
      <x:c r="M104" s="9" t="str">
        <x:v>BNZ only</x:v>
      </x:c>
      <x:c r="N104" s="9" t="str">
        <x:v>See ledger</x:v>
      </x:c>
    </x:row>
    <x:row r="105">
      <x:c r="A105" s="10" t="n">
        <x:v>46082.958333333336</x:v>
      </x:c>
      <x:c r="B105" s="11" t="n">
        <x:v>-40</x:v>
      </x:c>
      <x:c r="C105" s="9" t="str">
        <x:v>CLAUDE.AI SUBSCRIPTI</x:v>
      </x:c>
      <x:c r="D105" s="9" t="str">
        <x:v>5996</x:v>
      </x:c>
      <x:c r="E105" s="9" t="str">
        <x:v>ANTHROPIC.CO</x:v>
      </x:c>
      <x:c r="F105" s="9" t="str">
        <x:v>401134022028</x:v>
      </x:c>
      <x:c r="G105" s="9" t="str">
        <x:v>POS</x:v>
      </x:c>
      <x:c r="H105" s="9" t="str">
        <x:v>---</x:v>
      </x:c>
      <x:c r="I105" s="9" t="str">
        <x:v>Not imported</x:v>
      </x:c>
      <x:c r="J105" s="9" t="str">
        <x:v>GST purchase included</x:v>
      </x:c>
      <x:c r="K105" s="9" t="str">
        <x:v>Included provisionally; overseas software is claimable only if NZ GST was actually charged.</x:v>
      </x:c>
      <x:c r="L105" s="9" t="str">
        <x:v>a5j3c3</x:v>
      </x:c>
      <x:c r="M105" s="9" t="str">
        <x:v>BNZ only</x:v>
      </x:c>
      <x:c r="N105" s="9" t="str">
        <x:v>See ledger</x:v>
      </x:c>
    </x:row>
    <x:row r="106">
      <x:c r="A106" s="10" t="n">
        <x:v>46082.958333333336</x:v>
      </x:c>
      <x:c r="B106" s="11" t="n">
        <x:v>-34.81</x:v>
      </x:c>
      <x:c r="C106" s="9" t="str">
        <x:v>CURSOR  AI POWERED I</x:v>
      </x:c>
      <x:c r="D106" s="9" t="str">
        <x:v>5996</x:v>
      </x:c>
      <x:c r="E106" s="9" t="str">
        <x:v>CURSOR.COM</x:v>
      </x:c>
      <x:c r="F106" s="9" t="str">
        <x:v>401134022136</x:v>
      </x:c>
      <x:c r="G106" s="9" t="str">
        <x:v>POS</x:v>
      </x:c>
      <x:c r="H106" s="9" t="str">
        <x:v>---</x:v>
      </x:c>
      <x:c r="I106" s="9" t="str">
        <x:v>Not imported</x:v>
      </x:c>
      <x:c r="J106" s="9" t="str">
        <x:v>GST purchase included</x:v>
      </x:c>
      <x:c r="K106" s="9" t="str">
        <x:v>Included provisionally; overseas software is claimable only if NZ GST was actually charged.</x:v>
      </x:c>
      <x:c r="L106" s="9" t="str">
        <x:v>8t59iw</x:v>
      </x:c>
      <x:c r="M106" s="9" t="str">
        <x:v>BNZ only</x:v>
      </x:c>
      <x:c r="N106" s="9" t="str">
        <x:v>See ledger</x:v>
      </x:c>
    </x:row>
    <x:row r="107">
      <x:c r="A107" s="10" t="n">
        <x:v>46083.958333333336</x:v>
      </x:c>
      <x:c r="B107" s="11" t="n">
        <x:v>-407.89</x:v>
      </x:c>
      <x:c r="C107" s="9" t="str">
        <x:v>Resene - Wanaka 087</x:v>
      </x:c>
      <x:c r="D107" s="9" t="str">
        <x:v>5996</x:v>
      </x:c>
      <x:c r="E107" s="9" t="str">
        <x:v>Wanaka</x:v>
      </x:c>
      <x:c r="F107" s="9" t="str">
        <x:v>420549030903</x:v>
      </x:c>
      <x:c r="G107" s="9" t="str">
        <x:v>POS</x:v>
      </x:c>
      <x:c r="H107" s="9" t="str">
        <x:v>---</x:v>
      </x:c>
      <x:c r="I107" s="9" t="str">
        <x:v>Not imported</x:v>
      </x:c>
      <x:c r="J107" s="9" t="str">
        <x:v>GST purchase included</x:v>
      </x:c>
      <x:c r="K107" s="9" t="str">
        <x:v>Business purchase.</x:v>
      </x:c>
      <x:c r="L107" s="9" t="str">
        <x:v>scbx7v</x:v>
      </x:c>
      <x:c r="M107" s="9" t="str">
        <x:v>BNZ only</x:v>
      </x:c>
      <x:c r="N107" s="9" t="str">
        <x:v>See ledger</x:v>
      </x:c>
    </x:row>
    <x:row r="108">
      <x:c r="A108" s="10" t="n">
        <x:v>46083.958333333336</x:v>
      </x:c>
      <x:c r="B108" s="11" t="n">
        <x:v>2001</x:v>
      </x:c>
      <x:c r="C108" s="9" t="str">
        <x:v>C E &amp; S S GUNN</x:v>
      </x:c>
      <x:c r="D108" s="9" t="str">
        <x:v>50 dale st</x:v>
      </x:c>
      <x:c r="E108" s="9" t="str">
        <x:v>painting</x:v>
      </x:c>
      <x:c r="F108" s="9" t="str">
        <x:v>final invoic</x:v>
      </x:c>
      <x:c r="G108" s="9" t="str">
        <x:v>BP</x:v>
      </x:c>
      <x:c r="H108" s="9" t="str">
        <x:v>38-9008-0296521-09</x:v>
      </x:c>
      <x:c r="I108" s="9" t="str">
        <x:v>Not imported</x:v>
      </x:c>
      <x:c r="J108" s="9" t="str">
        <x:v>Taxable customer receipt</x:v>
      </x:c>
      <x:c r="K108" s="9" t="str"/>
      <x:c r="L108" s="9" t="str">
        <x:v>epqxio</x:v>
      </x:c>
      <x:c r="M108" s="9" t="str">
        <x:v>BNZ only</x:v>
      </x:c>
      <x:c r="N108" s="9" t="str">
        <x:v>See ledger</x:v>
      </x:c>
    </x:row>
    <x:row r="109">
      <x:c r="A109" s="10" t="n">
        <x:v>46083.958333333336</x:v>
      </x:c>
      <x:c r="B109" s="11" t="n">
        <x:v>-11.77</x:v>
      </x:c>
      <x:c r="C109" s="9" t="str">
        <x:v>Four Square Albertto</x:v>
      </x:c>
      <x:c r="D109" s="9" t="str">
        <x:v>5996</x:v>
      </x:c>
      <x:c r="E109" s="9" t="str">
        <x:v>Wanaka</x:v>
      </x:c>
      <x:c r="F109" s="9" t="str">
        <x:v>420549031254</x:v>
      </x:c>
      <x:c r="G109" s="9" t="str">
        <x:v>POS</x:v>
      </x:c>
      <x:c r="H109" s="9" t="str">
        <x:v>---</x:v>
      </x:c>
      <x:c r="I109" s="9" t="str">
        <x:v>Not imported</x:v>
      </x:c>
      <x:c r="J109" s="9" t="str">
        <x:v>Excluded</x:v>
      </x:c>
      <x:c r="K109" s="9" t="str">
        <x:v>Personal, transfer, tax, cash withdrawal, food or entertainment; no GST claim.</x:v>
      </x:c>
      <x:c r="L109" s="9" t="str">
        <x:v>gz3hns</x:v>
      </x:c>
      <x:c r="M109" s="9" t="str">
        <x:v>BNZ only</x:v>
      </x:c>
      <x:c r="N109" s="9" t="str">
        <x:v>No</x:v>
      </x:c>
    </x:row>
    <x:row r="110">
      <x:c r="A110" s="10" t="n">
        <x:v>46084.958333333336</x:v>
      </x:c>
      <x:c r="B110" s="11" t="n">
        <x:v>-24.12</x:v>
      </x:c>
      <x:c r="C110" s="9" t="str">
        <x:v>Four Square Albertto</x:v>
      </x:c>
      <x:c r="D110" s="9" t="str">
        <x:v>5996</x:v>
      </x:c>
      <x:c r="E110" s="9" t="str">
        <x:v>Wanaka</x:v>
      </x:c>
      <x:c r="F110" s="9" t="str">
        <x:v>420549041024</x:v>
      </x:c>
      <x:c r="G110" s="9" t="str">
        <x:v>POS</x:v>
      </x:c>
      <x:c r="H110" s="9" t="str">
        <x:v>---</x:v>
      </x:c>
      <x:c r="I110" s="9" t="str">
        <x:v>Not imported</x:v>
      </x:c>
      <x:c r="J110" s="9" t="str">
        <x:v>Excluded</x:v>
      </x:c>
      <x:c r="K110" s="9" t="str">
        <x:v>Personal, transfer, tax, cash withdrawal, food or entertainment; no GST claim.</x:v>
      </x:c>
      <x:c r="L110" s="9" t="str">
        <x:v>mh9wby</x:v>
      </x:c>
      <x:c r="M110" s="9" t="str">
        <x:v>BNZ only</x:v>
      </x:c>
      <x:c r="N110" s="9" t="str">
        <x:v>No</x:v>
      </x:c>
    </x:row>
    <x:row r="111">
      <x:c r="A111" s="10" t="n">
        <x:v>46084.958333333336</x:v>
      </x:c>
      <x:c r="B111" s="11" t="n">
        <x:v>-112.41</x:v>
      </x:c>
      <x:c r="C111" s="9" t="str">
        <x:v>R &amp; S TRADE CENTRE</x:v>
      </x:c>
      <x:c r="D111" s="9" t="str">
        <x:v>5996</x:v>
      </x:c>
      <x:c r="E111" s="9" t="str">
        <x:v>CHRISTCHURCH</x:v>
      </x:c>
      <x:c r="F111" s="9" t="str">
        <x:v>492102041625</x:v>
      </x:c>
      <x:c r="G111" s="9" t="str">
        <x:v>POS</x:v>
      </x:c>
      <x:c r="H111" s="9" t="str">
        <x:v>---</x:v>
      </x:c>
      <x:c r="I111" s="9" t="str">
        <x:v>Not imported</x:v>
      </x:c>
      <x:c r="J111" s="9" t="str">
        <x:v>GST purchase included</x:v>
      </x:c>
      <x:c r="K111" s="9" t="str">
        <x:v>Business purchase.</x:v>
      </x:c>
      <x:c r="L111" s="9" t="str">
        <x:v>42wo7l</x:v>
      </x:c>
      <x:c r="M111" s="9" t="str">
        <x:v>BNZ only</x:v>
      </x:c>
      <x:c r="N111" s="9" t="str">
        <x:v>See ledger</x:v>
      </x:c>
    </x:row>
    <x:row r="112">
      <x:c r="A112" s="10" t="n">
        <x:v>46085.958333333336</x:v>
      </x:c>
      <x:c r="B112" s="11" t="n">
        <x:v>-160.43</x:v>
      </x:c>
      <x:c r="C112" s="9" t="str">
        <x:v>Resene - Wanaka 087</x:v>
      </x:c>
      <x:c r="D112" s="9" t="str">
        <x:v>5996</x:v>
      </x:c>
      <x:c r="E112" s="9" t="str">
        <x:v>Wanaka</x:v>
      </x:c>
      <x:c r="F112" s="9" t="str">
        <x:v>420549051536</x:v>
      </x:c>
      <x:c r="G112" s="9" t="str">
        <x:v>POS</x:v>
      </x:c>
      <x:c r="H112" s="9" t="str">
        <x:v>---</x:v>
      </x:c>
      <x:c r="I112" s="9" t="str">
        <x:v>Not imported</x:v>
      </x:c>
      <x:c r="J112" s="9" t="str">
        <x:v>GST purchase included</x:v>
      </x:c>
      <x:c r="K112" s="9" t="str">
        <x:v>Business purchase.</x:v>
      </x:c>
      <x:c r="L112" s="9" t="str">
        <x:v>uqpjfo</x:v>
      </x:c>
      <x:c r="M112" s="9" t="str">
        <x:v>BNZ only</x:v>
      </x:c>
      <x:c r="N112" s="9" t="str">
        <x:v>See ledger</x:v>
      </x:c>
    </x:row>
    <x:row r="113">
      <x:c r="A113" s="10" t="n">
        <x:v>46085.958333333336</x:v>
      </x:c>
      <x:c r="B113" s="11" t="n">
        <x:v>1177.6</x:v>
      </x:c>
      <x:c r="C113" s="9" t="str">
        <x:v>NELSON&amp;MEAKIN</x:v>
      </x:c>
      <x:c r="D113" s="9" t="str">
        <x:v>56 Dale St</x:v>
      </x:c>
      <x:c r="E113" s="9" t="str"/>
      <x:c r="F113" s="9" t="str">
        <x:v>DanyaMeakins</x:v>
      </x:c>
      <x:c r="G113" s="9" t="str">
        <x:v>BP</x:v>
      </x:c>
      <x:c r="H113" s="9" t="str">
        <x:v>01-0867-0733098-00</x:v>
      </x:c>
      <x:c r="I113" s="9" t="str">
        <x:v>Not imported</x:v>
      </x:c>
      <x:c r="J113" s="9" t="str">
        <x:v>Taxable customer receipt</x:v>
      </x:c>
      <x:c r="K113" s="9" t="str"/>
      <x:c r="L113" s="9" t="str">
        <x:v>1kuolo</x:v>
      </x:c>
      <x:c r="M113" s="9" t="str">
        <x:v>BNZ only</x:v>
      </x:c>
      <x:c r="N113" s="9" t="str">
        <x:v>See ledger</x:v>
      </x:c>
    </x:row>
    <x:row r="114">
      <x:c r="A114" s="10" t="n">
        <x:v>46086.958333333336</x:v>
      </x:c>
      <x:c r="B114" s="11" t="n">
        <x:v>-106.91</x:v>
      </x:c>
      <x:c r="C114" s="9" t="str">
        <x:v>Inland Revenue</x:v>
      </x:c>
      <x:c r="D114" s="9" t="str">
        <x:v>5996</x:v>
      </x:c>
      <x:c r="E114" s="9" t="str">
        <x:v>Wellington</x:v>
      </x:c>
      <x:c r="F114" s="9" t="str">
        <x:v>454860061152</x:v>
      </x:c>
      <x:c r="G114" s="9" t="str">
        <x:v>POS</x:v>
      </x:c>
      <x:c r="H114" s="9" t="str">
        <x:v>---</x:v>
      </x:c>
      <x:c r="I114" s="9" t="str">
        <x:v>Not imported</x:v>
      </x:c>
      <x:c r="J114" s="9" t="str">
        <x:v>Excluded</x:v>
      </x:c>
      <x:c r="K114" s="9" t="str">
        <x:v>Personal, transfer, tax, cash withdrawal, food or entertainment; no GST claim.</x:v>
      </x:c>
      <x:c r="L114" s="9" t="str">
        <x:v>j26oaz</x:v>
      </x:c>
      <x:c r="M114" s="9" t="str">
        <x:v>BNZ only</x:v>
      </x:c>
      <x:c r="N114" s="9" t="str">
        <x:v>No</x:v>
      </x:c>
    </x:row>
    <x:row r="115">
      <x:c r="A115" s="10" t="n">
        <x:v>46086.958333333336</x:v>
      </x:c>
      <x:c r="B115" s="11" t="n">
        <x:v>-1.52</x:v>
      </x:c>
      <x:c r="C115" s="9" t="str">
        <x:v>IRD Conv Fee</x:v>
      </x:c>
      <x:c r="D115" s="9" t="str">
        <x:v>5996</x:v>
      </x:c>
      <x:c r="E115" s="9" t="str">
        <x:v>Auckland</x:v>
      </x:c>
      <x:c r="F115" s="9" t="str">
        <x:v>454860061152</x:v>
      </x:c>
      <x:c r="G115" s="9" t="str">
        <x:v>POS</x:v>
      </x:c>
      <x:c r="H115" s="9" t="str">
        <x:v>---</x:v>
      </x:c>
      <x:c r="I115" s="9" t="str">
        <x:v>Not imported</x:v>
      </x:c>
      <x:c r="J115" s="9" t="str">
        <x:v>Excluded</x:v>
      </x:c>
      <x:c r="K115" s="9" t="str">
        <x:v>Personal, transfer, tax, cash withdrawal, food or entertainment; no GST claim.</x:v>
      </x:c>
      <x:c r="L115" s="9" t="str">
        <x:v>p3tedd</x:v>
      </x:c>
      <x:c r="M115" s="9" t="str">
        <x:v>BNZ only</x:v>
      </x:c>
      <x:c r="N115" s="9" t="str">
        <x:v>No</x:v>
      </x:c>
    </x:row>
    <x:row r="116">
      <x:c r="A116" s="10" t="n">
        <x:v>46086.958333333336</x:v>
      </x:c>
      <x:c r="B116" s="11" t="n">
        <x:v>-50</x:v>
      </x:c>
      <x:c r="C116" s="9" t="str">
        <x:v>Inland Revenue</x:v>
      </x:c>
      <x:c r="D116" s="9" t="str">
        <x:v>5996</x:v>
      </x:c>
      <x:c r="E116" s="9" t="str">
        <x:v>Wellington</x:v>
      </x:c>
      <x:c r="F116" s="9" t="str">
        <x:v>454860061152</x:v>
      </x:c>
      <x:c r="G116" s="9" t="str">
        <x:v>POS</x:v>
      </x:c>
      <x:c r="H116" s="9" t="str">
        <x:v>---</x:v>
      </x:c>
      <x:c r="I116" s="9" t="str">
        <x:v>Not imported</x:v>
      </x:c>
      <x:c r="J116" s="9" t="str">
        <x:v>Excluded</x:v>
      </x:c>
      <x:c r="K116" s="9" t="str">
        <x:v>Personal, transfer, tax, cash withdrawal, food or entertainment; no GST claim.</x:v>
      </x:c>
      <x:c r="L116" s="9" t="str">
        <x:v>wkaav</x:v>
      </x:c>
      <x:c r="M116" s="9" t="str">
        <x:v>BNZ only</x:v>
      </x:c>
      <x:c r="N116" s="9" t="str">
        <x:v>No</x:v>
      </x:c>
    </x:row>
    <x:row r="117">
      <x:c r="A117" s="10" t="n">
        <x:v>46086.958333333336</x:v>
      </x:c>
      <x:c r="B117" s="11" t="n">
        <x:v>-0.71</x:v>
      </x:c>
      <x:c r="C117" s="9" t="str">
        <x:v>IRD Conv Fee</x:v>
      </x:c>
      <x:c r="D117" s="9" t="str">
        <x:v>5996</x:v>
      </x:c>
      <x:c r="E117" s="9" t="str">
        <x:v>Auckland</x:v>
      </x:c>
      <x:c r="F117" s="9" t="str">
        <x:v>454860061152</x:v>
      </x:c>
      <x:c r="G117" s="9" t="str">
        <x:v>POS</x:v>
      </x:c>
      <x:c r="H117" s="9" t="str">
        <x:v>---</x:v>
      </x:c>
      <x:c r="I117" s="9" t="str">
        <x:v>Not imported</x:v>
      </x:c>
      <x:c r="J117" s="9" t="str">
        <x:v>Excluded</x:v>
      </x:c>
      <x:c r="K117" s="9" t="str">
        <x:v>Personal, transfer, tax, cash withdrawal, food or entertainment; no GST claim.</x:v>
      </x:c>
      <x:c r="L117" s="9" t="str">
        <x:v>aqagbj</x:v>
      </x:c>
      <x:c r="M117" s="9" t="str">
        <x:v>BNZ only</x:v>
      </x:c>
      <x:c r="N117" s="9" t="str">
        <x:v>No</x:v>
      </x:c>
    </x:row>
    <x:row r="118">
      <x:c r="A118" s="10" t="n">
        <x:v>46086.958333333336</x:v>
      </x:c>
      <x:c r="B118" s="11" t="n">
        <x:v>-40.69</x:v>
      </x:c>
      <x:c r="C118" s="9" t="str">
        <x:v>UBER *EATS HELP.UBER</x:v>
      </x:c>
      <x:c r="D118" s="9" t="str">
        <x:v>5996</x:v>
      </x:c>
      <x:c r="E118" s="9" t="str">
        <x:v>Christchurch</x:v>
      </x:c>
      <x:c r="F118" s="9" t="str">
        <x:v>453241061808</x:v>
      </x:c>
      <x:c r="G118" s="9" t="str">
        <x:v>POS</x:v>
      </x:c>
      <x:c r="H118" s="9" t="str">
        <x:v>---</x:v>
      </x:c>
      <x:c r="I118" s="9" t="str">
        <x:v>Not imported</x:v>
      </x:c>
      <x:c r="J118" s="9" t="str">
        <x:v>Excluded</x:v>
      </x:c>
      <x:c r="K118" s="9" t="str">
        <x:v>Personal, transfer, tax, cash withdrawal, food or entertainment; no GST claim.</x:v>
      </x:c>
      <x:c r="L118" s="9" t="str">
        <x:v>x5hpi9</x:v>
      </x:c>
      <x:c r="M118" s="9" t="str">
        <x:v>BNZ only</x:v>
      </x:c>
      <x:c r="N118" s="9" t="str">
        <x:v>No</x:v>
      </x:c>
    </x:row>
    <x:row r="119">
      <x:c r="A119" s="10" t="n">
        <x:v>46087.958333333336</x:v>
      </x:c>
      <x:c r="B119" s="11" t="n">
        <x:v>-134.99</x:v>
      </x:c>
      <x:c r="C119" s="9" t="str">
        <x:v>BP CONNECT WANAKA</x:v>
      </x:c>
      <x:c r="D119" s="9" t="str">
        <x:v>5996</x:v>
      </x:c>
      <x:c r="E119" s="9" t="str">
        <x:v>WANAKA</x:v>
      </x:c>
      <x:c r="F119" s="9" t="str">
        <x:v>492102070933</x:v>
      </x:c>
      <x:c r="G119" s="9" t="str">
        <x:v>POS</x:v>
      </x:c>
      <x:c r="H119" s="9" t="str">
        <x:v>---</x:v>
      </x:c>
      <x:c r="I119" s="9" t="str">
        <x:v>Not imported</x:v>
      </x:c>
      <x:c r="J119" s="9" t="str">
        <x:v>GST purchase included</x:v>
      </x:c>
      <x:c r="K119" s="9" t="str">
        <x:v>Business purchase.</x:v>
      </x:c>
      <x:c r="L119" s="9" t="str">
        <x:v>t0mv18</x:v>
      </x:c>
      <x:c r="M119" s="9" t="str">
        <x:v>BNZ only</x:v>
      </x:c>
      <x:c r="N119" s="9" t="str">
        <x:v>See ledger</x:v>
      </x:c>
    </x:row>
    <x:row r="120">
      <x:c r="A120" s="10" t="n">
        <x:v>46087.958333333336</x:v>
      </x:c>
      <x:c r="B120" s="11" t="n">
        <x:v>-40.16</x:v>
      </x:c>
      <x:c r="C120" s="9" t="str">
        <x:v>OPENAI *CHATGPT SUBS</x:v>
      </x:c>
      <x:c r="D120" s="9" t="str">
        <x:v>5996</x:v>
      </x:c>
      <x:c r="E120" s="9" t="str">
        <x:v>OPENAI.COM</x:v>
      </x:c>
      <x:c r="F120" s="9" t="str">
        <x:v>449216072053</x:v>
      </x:c>
      <x:c r="G120" s="9" t="str">
        <x:v>POS</x:v>
      </x:c>
      <x:c r="H120" s="9" t="str">
        <x:v>---</x:v>
      </x:c>
      <x:c r="I120" s="9" t="str">
        <x:v>Not imported</x:v>
      </x:c>
      <x:c r="J120" s="9" t="str">
        <x:v>GST purchase included</x:v>
      </x:c>
      <x:c r="K120" s="9" t="str">
        <x:v>Included provisionally; overseas software is claimable only if NZ GST was actually charged.</x:v>
      </x:c>
      <x:c r="L120" s="9" t="str">
        <x:v>pdfyan</x:v>
      </x:c>
      <x:c r="M120" s="9" t="str">
        <x:v>BNZ only</x:v>
      </x:c>
      <x:c r="N120" s="9" t="str">
        <x:v>See ledger</x:v>
      </x:c>
    </x:row>
    <x:row r="121">
      <x:c r="A121" s="10" t="n">
        <x:v>46088.958333333336</x:v>
      </x:c>
      <x:c r="B121" s="11" t="n">
        <x:v>-741.98</x:v>
      </x:c>
      <x:c r="C121" s="9" t="str">
        <x:v>MITRE 10 MEGA WANAKA</x:v>
      </x:c>
      <x:c r="D121" s="9" t="str">
        <x:v>5996</x:v>
      </x:c>
      <x:c r="E121" s="9" t="str">
        <x:v>WANAKA</x:v>
      </x:c>
      <x:c r="F121" s="9" t="str">
        <x:v>434667080956</x:v>
      </x:c>
      <x:c r="G121" s="9" t="str">
        <x:v>POS</x:v>
      </x:c>
      <x:c r="H121" s="9" t="str">
        <x:v>---</x:v>
      </x:c>
      <x:c r="I121" s="9" t="str">
        <x:v>Not imported</x:v>
      </x:c>
      <x:c r="J121" s="9" t="str">
        <x:v>GST purchase included</x:v>
      </x:c>
      <x:c r="K121" s="9" t="str">
        <x:v>Business purchase.</x:v>
      </x:c>
      <x:c r="L121" s="9" t="str">
        <x:v>efpn2</x:v>
      </x:c>
      <x:c r="M121" s="9" t="str">
        <x:v>BNZ only</x:v>
      </x:c>
      <x:c r="N121" s="9" t="str">
        <x:v>See ledger</x:v>
      </x:c>
    </x:row>
    <x:row r="122">
      <x:c r="A122" s="10" t="n">
        <x:v>46089.958333333336</x:v>
      </x:c>
      <x:c r="B122" s="11" t="n">
        <x:v>-42.35</x:v>
      </x:c>
      <x:c r="C122" s="9" t="str">
        <x:v>MITRE 10 MEGA WANAKA</x:v>
      </x:c>
      <x:c r="D122" s="9" t="str">
        <x:v>5996</x:v>
      </x:c>
      <x:c r="E122" s="9" t="str">
        <x:v>WANAKA</x:v>
      </x:c>
      <x:c r="F122" s="9" t="str">
        <x:v>434667091211</x:v>
      </x:c>
      <x:c r="G122" s="9" t="str">
        <x:v>POS</x:v>
      </x:c>
      <x:c r="H122" s="9" t="str">
        <x:v>---</x:v>
      </x:c>
      <x:c r="I122" s="9" t="str">
        <x:v>Not imported</x:v>
      </x:c>
      <x:c r="J122" s="9" t="str">
        <x:v>GST purchase included</x:v>
      </x:c>
      <x:c r="K122" s="9" t="str">
        <x:v>Business purchase.</x:v>
      </x:c>
      <x:c r="L122" s="9" t="str">
        <x:v>i9uepm</x:v>
      </x:c>
      <x:c r="M122" s="9" t="str">
        <x:v>BNZ only</x:v>
      </x:c>
      <x:c r="N122" s="9" t="str">
        <x:v>See ledger</x:v>
      </x:c>
    </x:row>
    <x:row r="123">
      <x:c r="A123" s="10" t="n">
        <x:v>46089.958333333336</x:v>
      </x:c>
      <x:c r="B123" s="11" t="n">
        <x:v>-60</x:v>
      </x:c>
      <x:c r="C123" s="9" t="str">
        <x:v>THE WAREHOUSE 212 WA</x:v>
      </x:c>
      <x:c r="D123" s="9" t="str">
        <x:v>5996</x:v>
      </x:c>
      <x:c r="E123" s="9" t="str">
        <x:v>WANAKA</x:v>
      </x:c>
      <x:c r="F123" s="9" t="str">
        <x:v>434667091212</x:v>
      </x:c>
      <x:c r="G123" s="9" t="str">
        <x:v>POS</x:v>
      </x:c>
      <x:c r="H123" s="9" t="str">
        <x:v>---</x:v>
      </x:c>
      <x:c r="I123" s="9" t="str">
        <x:v>Not imported</x:v>
      </x:c>
      <x:c r="J123" s="9" t="str">
        <x:v>Review / excluded by default</x:v>
      </x:c>
      <x:c r="K123" s="9" t="str">
        <x:v>Ordinary work clothing excluded. Change to Y only if protective or a distinctive branded uniform.</x:v>
      </x:c>
      <x:c r="L123" s="9" t="str">
        <x:v>2hlm1b</x:v>
      </x:c>
      <x:c r="M123" s="9" t="str">
        <x:v>BNZ only</x:v>
      </x:c>
      <x:c r="N123" s="9" t="str">
        <x:v>No</x:v>
      </x:c>
    </x:row>
    <x:row r="124">
      <x:c r="A124" s="10" t="n">
        <x:v>46091.958333333336</x:v>
      </x:c>
      <x:c r="B124" s="11" t="n">
        <x:v>-126.65</x:v>
      </x:c>
      <x:c r="C124" s="9" t="str">
        <x:v>Resene - Wanaka 087</x:v>
      </x:c>
      <x:c r="D124" s="9" t="str">
        <x:v>5996</x:v>
      </x:c>
      <x:c r="E124" s="9" t="str">
        <x:v>Wanaka</x:v>
      </x:c>
      <x:c r="F124" s="9" t="str">
        <x:v>420549111106</x:v>
      </x:c>
      <x:c r="G124" s="9" t="str">
        <x:v>POS</x:v>
      </x:c>
      <x:c r="H124" s="9" t="str">
        <x:v>---</x:v>
      </x:c>
      <x:c r="I124" s="9" t="str">
        <x:v>Not imported</x:v>
      </x:c>
      <x:c r="J124" s="9" t="str">
        <x:v>GST purchase included</x:v>
      </x:c>
      <x:c r="K124" s="9" t="str">
        <x:v>Business purchase.</x:v>
      </x:c>
      <x:c r="L124" s="9" t="str">
        <x:v>jkp2rn</x:v>
      </x:c>
      <x:c r="M124" s="9" t="str">
        <x:v>BNZ only</x:v>
      </x:c>
      <x:c r="N124" s="9" t="str">
        <x:v>See ledger</x:v>
      </x:c>
    </x:row>
    <x:row r="125">
      <x:c r="A125" s="10" t="n">
        <x:v>46091.958333333336</x:v>
      </x:c>
      <x:c r="B125" s="11" t="n">
        <x:v>-28.99</x:v>
      </x:c>
      <x:c r="C125" s="9" t="str">
        <x:v>BP CONNECT WANAKA</x:v>
      </x:c>
      <x:c r="D125" s="9" t="str">
        <x:v>5996</x:v>
      </x:c>
      <x:c r="E125" s="9" t="str">
        <x:v>WANAKA</x:v>
      </x:c>
      <x:c r="F125" s="9" t="str">
        <x:v>492102111534</x:v>
      </x:c>
      <x:c r="G125" s="9" t="str">
        <x:v>POS</x:v>
      </x:c>
      <x:c r="H125" s="9" t="str">
        <x:v>---</x:v>
      </x:c>
      <x:c r="I125" s="9" t="str">
        <x:v>Not imported</x:v>
      </x:c>
      <x:c r="J125" s="9" t="str">
        <x:v>GST purchase included</x:v>
      </x:c>
      <x:c r="K125" s="9" t="str">
        <x:v>Business purchase.</x:v>
      </x:c>
      <x:c r="L125" s="9" t="str">
        <x:v>4nbwjm</x:v>
      </x:c>
      <x:c r="M125" s="9" t="str">
        <x:v>BNZ only</x:v>
      </x:c>
      <x:c r="N125" s="9" t="str">
        <x:v>See ledger</x:v>
      </x:c>
    </x:row>
    <x:row r="126">
      <x:c r="A126" s="10" t="n">
        <x:v>46091.958333333336</x:v>
      </x:c>
      <x:c r="B126" s="11" t="n">
        <x:v>-25.49</x:v>
      </x:c>
      <x:c r="C126" s="9" t="str">
        <x:v>SPOTIFY</x:v>
      </x:c>
      <x:c r="D126" s="9" t="str">
        <x:v>5996</x:v>
      </x:c>
      <x:c r="E126" s="9" t="str">
        <x:v>STOCKHOLM</x:v>
      </x:c>
      <x:c r="F126" s="9" t="str">
        <x:v>414361112121</x:v>
      </x:c>
      <x:c r="G126" s="9" t="str">
        <x:v>POS</x:v>
      </x:c>
      <x:c r="H126" s="9" t="str">
        <x:v>---</x:v>
      </x:c>
      <x:c r="I126" s="9" t="str">
        <x:v>Not imported</x:v>
      </x:c>
      <x:c r="J126" s="9" t="str">
        <x:v>Excluded</x:v>
      </x:c>
      <x:c r="K126" s="9" t="str">
        <x:v>Personal, transfer, tax, cash withdrawal, food or entertainment; no GST claim.</x:v>
      </x:c>
      <x:c r="L126" s="9" t="str">
        <x:v>louz9v</x:v>
      </x:c>
      <x:c r="M126" s="9" t="str">
        <x:v>BNZ only</x:v>
      </x:c>
      <x:c r="N126" s="9" t="str">
        <x:v>No</x:v>
      </x:c>
    </x:row>
    <x:row r="127">
      <x:c r="A127" s="10" t="n">
        <x:v>46092.958333333336</x:v>
      </x:c>
      <x:c r="B127" s="11" t="n">
        <x:v>-126.65</x:v>
      </x:c>
      <x:c r="C127" s="9" t="str">
        <x:v>Resene - Wanaka 087</x:v>
      </x:c>
      <x:c r="D127" s="9" t="str">
        <x:v>5996</x:v>
      </x:c>
      <x:c r="E127" s="9" t="str">
        <x:v>Wanaka</x:v>
      </x:c>
      <x:c r="F127" s="9" t="str">
        <x:v>420549121332</x:v>
      </x:c>
      <x:c r="G127" s="9" t="str">
        <x:v>POS</x:v>
      </x:c>
      <x:c r="H127" s="9" t="str">
        <x:v>---</x:v>
      </x:c>
      <x:c r="I127" s="9" t="str">
        <x:v>Not imported</x:v>
      </x:c>
      <x:c r="J127" s="9" t="str">
        <x:v>GST purchase included</x:v>
      </x:c>
      <x:c r="K127" s="9" t="str">
        <x:v>Business purchase.</x:v>
      </x:c>
      <x:c r="L127" s="9" t="str">
        <x:v>vpo2qo</x:v>
      </x:c>
      <x:c r="M127" s="9" t="str">
        <x:v>BNZ only</x:v>
      </x:c>
      <x:c r="N127" s="9" t="str">
        <x:v>See ledger</x:v>
      </x:c>
    </x:row>
    <x:row r="128">
      <x:c r="A128" s="10" t="n">
        <x:v>46093.958333333336</x:v>
      </x:c>
      <x:c r="B128" s="11" t="n">
        <x:v>-117.65</x:v>
      </x:c>
      <x:c r="C128" s="9" t="str">
        <x:v>BP 2GO CROMWELL</x:v>
      </x:c>
      <x:c r="D128" s="9" t="str">
        <x:v>5996</x:v>
      </x:c>
      <x:c r="E128" s="9" t="str">
        <x:v>CROMWELL</x:v>
      </x:c>
      <x:c r="F128" s="9" t="str">
        <x:v>492102131326</x:v>
      </x:c>
      <x:c r="G128" s="9" t="str">
        <x:v>POS</x:v>
      </x:c>
      <x:c r="H128" s="9" t="str">
        <x:v>---</x:v>
      </x:c>
      <x:c r="I128" s="9" t="str">
        <x:v>Not imported</x:v>
      </x:c>
      <x:c r="J128" s="9" t="str">
        <x:v>GST purchase included</x:v>
      </x:c>
      <x:c r="K128" s="9" t="str">
        <x:v>Business purchase.</x:v>
      </x:c>
      <x:c r="L128" s="9" t="str">
        <x:v>wzms71</x:v>
      </x:c>
      <x:c r="M128" s="9" t="str">
        <x:v>BNZ only</x:v>
      </x:c>
      <x:c r="N128" s="9" t="str">
        <x:v>See ledger</x:v>
      </x:c>
    </x:row>
    <x:row r="129">
      <x:c r="A129" s="10" t="n">
        <x:v>46094.958333333336</x:v>
      </x:c>
      <x:c r="B129" s="11" t="n">
        <x:v>-8.58</x:v>
      </x:c>
      <x:c r="C129" s="9" t="str">
        <x:v>Four Square Albertto</x:v>
      </x:c>
      <x:c r="D129" s="9" t="str">
        <x:v>5996</x:v>
      </x:c>
      <x:c r="E129" s="9" t="str">
        <x:v>Wanaka</x:v>
      </x:c>
      <x:c r="F129" s="9" t="str">
        <x:v>420549141849</x:v>
      </x:c>
      <x:c r="G129" s="9" t="str">
        <x:v>POS</x:v>
      </x:c>
      <x:c r="H129" s="9" t="str">
        <x:v>---</x:v>
      </x:c>
      <x:c r="I129" s="9" t="str">
        <x:v>Not imported</x:v>
      </x:c>
      <x:c r="J129" s="9" t="str">
        <x:v>Excluded</x:v>
      </x:c>
      <x:c r="K129" s="9" t="str">
        <x:v>Personal, transfer, tax, cash withdrawal, food or entertainment; no GST claim.</x:v>
      </x:c>
      <x:c r="L129" s="9" t="str">
        <x:v>oszv17</x:v>
      </x:c>
      <x:c r="M129" s="9" t="str">
        <x:v>BNZ only</x:v>
      </x:c>
      <x:c r="N129" s="9" t="str">
        <x:v>No</x:v>
      </x:c>
    </x:row>
    <x:row r="130">
      <x:c r="A130" s="10" t="n">
        <x:v>46095.958333333336</x:v>
      </x:c>
      <x:c r="B130" s="11" t="n">
        <x:v>-80</x:v>
      </x:c>
      <x:c r="C130" s="9" t="str">
        <x:v>Vincent Smith</x:v>
      </x:c>
      <x:c r="D130" s="9" t="str"/>
      <x:c r="E130" s="9" t="str"/>
      <x:c r="F130" s="9" t="str"/>
      <x:c r="G130" s="9" t="str">
        <x:v>DC</x:v>
      </x:c>
      <x:c r="H130" s="9" t="str">
        <x:v>03-1700-0135293-25</x:v>
      </x:c>
      <x:c r="I130" s="9" t="str">
        <x:v>Not imported</x:v>
      </x:c>
      <x:c r="J130" s="9" t="str">
        <x:v>GST purchase included</x:v>
      </x:c>
      <x:c r="K130" s="9" t="str">
        <x:v>Business purchase.</x:v>
      </x:c>
      <x:c r="L130" s="9" t="str">
        <x:v>iwgpsv</x:v>
      </x:c>
      <x:c r="M130" s="9" t="str">
        <x:v>BNZ only</x:v>
      </x:c>
      <x:c r="N130" s="9" t="str">
        <x:v>See ledger</x:v>
      </x:c>
    </x:row>
    <x:row r="131">
      <x:c r="A131" s="10" t="n">
        <x:v>46095.958333333336</x:v>
      </x:c>
      <x:c r="B131" s="11" t="n">
        <x:v>-188.58</x:v>
      </x:c>
      <x:c r="C131" s="9" t="str">
        <x:v>ONE NZ</x:v>
      </x:c>
      <x:c r="D131" s="9" t="str">
        <x:v>5996</x:v>
      </x:c>
      <x:c r="E131" s="9" t="str">
        <x:v>AUCKLAND</x:v>
      </x:c>
      <x:c r="F131" s="9" t="str">
        <x:v>432129150749</x:v>
      </x:c>
      <x:c r="G131" s="9" t="str">
        <x:v>POS</x:v>
      </x:c>
      <x:c r="H131" s="9" t="str">
        <x:v>---</x:v>
      </x:c>
      <x:c r="I131" s="9" t="str">
        <x:v>Not imported</x:v>
      </x:c>
      <x:c r="J131" s="9" t="str">
        <x:v>GST purchase included</x:v>
      </x:c>
      <x:c r="K131" s="9" t="str">
        <x:v>Business purchase.</x:v>
      </x:c>
      <x:c r="L131" s="9" t="str">
        <x:v>cuhb5r</x:v>
      </x:c>
      <x:c r="M131" s="9" t="str">
        <x:v>BNZ only</x:v>
      </x:c>
      <x:c r="N131" s="9" t="str">
        <x:v>See ledger</x:v>
      </x:c>
    </x:row>
    <x:row r="132">
      <x:c r="A132" s="10" t="n">
        <x:v>46095.958333333336</x:v>
      </x:c>
      <x:c r="B132" s="11" t="n">
        <x:v>-13.79</x:v>
      </x:c>
      <x:c r="C132" s="9" t="str">
        <x:v>Four Square Albertto</x:v>
      </x:c>
      <x:c r="D132" s="9" t="str">
        <x:v>5996</x:v>
      </x:c>
      <x:c r="E132" s="9" t="str">
        <x:v>Wanaka</x:v>
      </x:c>
      <x:c r="F132" s="9" t="str">
        <x:v>420549151500</x:v>
      </x:c>
      <x:c r="G132" s="9" t="str">
        <x:v>POS</x:v>
      </x:c>
      <x:c r="H132" s="9" t="str">
        <x:v>---</x:v>
      </x:c>
      <x:c r="I132" s="9" t="str">
        <x:v>Not imported</x:v>
      </x:c>
      <x:c r="J132" s="9" t="str">
        <x:v>Excluded</x:v>
      </x:c>
      <x:c r="K132" s="9" t="str">
        <x:v>Personal, transfer, tax, cash withdrawal, food or entertainment; no GST claim.</x:v>
      </x:c>
      <x:c r="L132" s="9" t="str">
        <x:v>vp5dc4</x:v>
      </x:c>
      <x:c r="M132" s="9" t="str">
        <x:v>BNZ only</x:v>
      </x:c>
      <x:c r="N132" s="9" t="str">
        <x:v>No</x:v>
      </x:c>
    </x:row>
    <x:row r="133">
      <x:c r="A133" s="10" t="n">
        <x:v>46096.958333333336</x:v>
      </x:c>
      <x:c r="B133" s="11" t="n">
        <x:v>926.9</x:v>
      </x:c>
      <x:c r="C133" s="9" t="str">
        <x:v>Turner G A</x:v>
      </x:c>
      <x:c r="D133" s="9" t="str">
        <x:v>Inv. Balance</x:v>
      </x:c>
      <x:c r="E133" s="9" t="str">
        <x:v>Painting</x:v>
      </x:c>
      <x:c r="F133" s="9" t="str">
        <x:v>29 Tomtit</x:v>
      </x:c>
      <x:c r="G133" s="9" t="str">
        <x:v>DC</x:v>
      </x:c>
      <x:c r="H133" s="9" t="str">
        <x:v>03-1514-0046414-00</x:v>
      </x:c>
      <x:c r="I133" s="9" t="str">
        <x:v>Not imported</x:v>
      </x:c>
      <x:c r="J133" s="9" t="str">
        <x:v>Taxable customer receipt</x:v>
      </x:c>
      <x:c r="K133" s="9" t="str"/>
      <x:c r="L133" s="9" t="str">
        <x:v>xy1lsg</x:v>
      </x:c>
      <x:c r="M133" s="9" t="str">
        <x:v>BNZ only</x:v>
      </x:c>
      <x:c r="N133" s="9" t="str">
        <x:v>See ledger</x:v>
      </x:c>
    </x:row>
    <x:row r="134">
      <x:c r="A134" s="10" t="n">
        <x:v>46097.958333333336</x:v>
      </x:c>
      <x:c r="B134" s="11" t="n">
        <x:v>-57.19</x:v>
      </x:c>
      <x:c r="C134" s="9" t="str">
        <x:v>MITRE 10 MEGA WANAKA</x:v>
      </x:c>
      <x:c r="D134" s="9" t="str">
        <x:v>5996</x:v>
      </x:c>
      <x:c r="E134" s="9" t="str">
        <x:v>WANAKA</x:v>
      </x:c>
      <x:c r="F134" s="9" t="str">
        <x:v>434667171218</x:v>
      </x:c>
      <x:c r="G134" s="9" t="str">
        <x:v>POS</x:v>
      </x:c>
      <x:c r="H134" s="9" t="str">
        <x:v>---</x:v>
      </x:c>
      <x:c r="I134" s="9" t="str">
        <x:v>Not imported</x:v>
      </x:c>
      <x:c r="J134" s="9" t="str">
        <x:v>GST purchase included</x:v>
      </x:c>
      <x:c r="K134" s="9" t="str">
        <x:v>Business purchase.</x:v>
      </x:c>
      <x:c r="L134" s="9" t="str">
        <x:v>efdaz1</x:v>
      </x:c>
      <x:c r="M134" s="9" t="str">
        <x:v>BNZ only</x:v>
      </x:c>
      <x:c r="N134" s="9" t="str">
        <x:v>See ledger</x:v>
      </x:c>
    </x:row>
    <x:row r="135">
      <x:c r="A135" s="10" t="n">
        <x:v>46097.958333333336</x:v>
      </x:c>
      <x:c r="B135" s="11" t="n">
        <x:v>-175.39</x:v>
      </x:c>
      <x:c r="C135" s="9" t="str">
        <x:v>Resene - Wanaka 087</x:v>
      </x:c>
      <x:c r="D135" s="9" t="str">
        <x:v>5996</x:v>
      </x:c>
      <x:c r="E135" s="9" t="str">
        <x:v>Wanaka</x:v>
      </x:c>
      <x:c r="F135" s="9" t="str">
        <x:v>420549171114</x:v>
      </x:c>
      <x:c r="G135" s="9" t="str">
        <x:v>POS</x:v>
      </x:c>
      <x:c r="H135" s="9" t="str">
        <x:v>---</x:v>
      </x:c>
      <x:c r="I135" s="9" t="str">
        <x:v>Not imported</x:v>
      </x:c>
      <x:c r="J135" s="9" t="str">
        <x:v>GST purchase included</x:v>
      </x:c>
      <x:c r="K135" s="9" t="str">
        <x:v>Business purchase.</x:v>
      </x:c>
      <x:c r="L135" s="9" t="str">
        <x:v>rze60d</x:v>
      </x:c>
      <x:c r="M135" s="9" t="str">
        <x:v>BNZ only</x:v>
      </x:c>
      <x:c r="N135" s="9" t="str">
        <x:v>See ledger</x:v>
      </x:c>
    </x:row>
    <x:row r="136">
      <x:c r="A136" s="10" t="n">
        <x:v>46097.958333333336</x:v>
      </x:c>
      <x:c r="B136" s="11" t="n">
        <x:v>-37.5</x:v>
      </x:c>
      <x:c r="C136" s="9" t="str">
        <x:v>Resene - Wanaka 087</x:v>
      </x:c>
      <x:c r="D136" s="9" t="str">
        <x:v>5996</x:v>
      </x:c>
      <x:c r="E136" s="9" t="str">
        <x:v>Wanaka</x:v>
      </x:c>
      <x:c r="F136" s="9" t="str">
        <x:v>420549171116</x:v>
      </x:c>
      <x:c r="G136" s="9" t="str">
        <x:v>POS</x:v>
      </x:c>
      <x:c r="H136" s="9" t="str">
        <x:v>---</x:v>
      </x:c>
      <x:c r="I136" s="9" t="str">
        <x:v>Not imported</x:v>
      </x:c>
      <x:c r="J136" s="9" t="str">
        <x:v>GST purchase included</x:v>
      </x:c>
      <x:c r="K136" s="9" t="str">
        <x:v>Business purchase.</x:v>
      </x:c>
      <x:c r="L136" s="9" t="str">
        <x:v>p87mkr</x:v>
      </x:c>
      <x:c r="M136" s="9" t="str">
        <x:v>BNZ only</x:v>
      </x:c>
      <x:c r="N136" s="9" t="str">
        <x:v>See ledger</x:v>
      </x:c>
    </x:row>
    <x:row r="137">
      <x:c r="A137" s="10" t="n">
        <x:v>46097.958333333336</x:v>
      </x:c>
      <x:c r="B137" s="11" t="n">
        <x:v>1287</x:v>
      </x:c>
      <x:c r="C137" s="9" t="str">
        <x:v>Fiebig W G</x:v>
      </x:c>
      <x:c r="D137" s="9" t="str">
        <x:v>Wes  Ailsa</x:v>
      </x:c>
      <x:c r="E137" s="9" t="str"/>
      <x:c r="F137" s="9" t="str"/>
      <x:c r="G137" s="9" t="str">
        <x:v>DC</x:v>
      </x:c>
      <x:c r="H137" s="9" t="str">
        <x:v>03-1750-0109229-18</x:v>
      </x:c>
      <x:c r="I137" s="9" t="str">
        <x:v>Not imported</x:v>
      </x:c>
      <x:c r="J137" s="9" t="str">
        <x:v>Taxable customer receipt</x:v>
      </x:c>
      <x:c r="K137" s="9" t="str"/>
      <x:c r="L137" s="9" t="str">
        <x:v>91akwv</x:v>
      </x:c>
      <x:c r="M137" s="9" t="str">
        <x:v>BNZ only</x:v>
      </x:c>
      <x:c r="N137" s="9" t="str">
        <x:v>See ledger</x:v>
      </x:c>
    </x:row>
    <x:row r="138">
      <x:c r="A138" s="10" t="n">
        <x:v>46098.958333333336</x:v>
      </x:c>
      <x:c r="B138" s="11" t="n">
        <x:v>-500</x:v>
      </x:c>
      <x:c r="C138" s="9" t="str">
        <x:v>YouMoney</x:v>
      </x:c>
      <x:c r="D138" s="9" t="str"/>
      <x:c r="E138" s="9" t="str"/>
      <x:c r="F138" s="9" t="str">
        <x:v>INTERNET XFR</x:v>
      </x:c>
      <x:c r="G138" s="9" t="str">
        <x:v>FT</x:v>
      </x:c>
      <x:c r="H138" s="9" t="str">
        <x:v>02-0568-0080488-83</x:v>
      </x:c>
      <x:c r="I138" s="9" t="str">
        <x:v>Not imported</x:v>
      </x:c>
      <x:c r="J138" s="9" t="str">
        <x:v>Excluded</x:v>
      </x:c>
      <x:c r="K138" s="9" t="str">
        <x:v>Personal, transfer, tax, cash withdrawal, food or entertainment; no GST claim.</x:v>
      </x:c>
      <x:c r="L138" s="9" t="str">
        <x:v>6cx5jn</x:v>
      </x:c>
      <x:c r="M138" s="9" t="str">
        <x:v>BNZ only</x:v>
      </x:c>
      <x:c r="N138" s="9" t="str">
        <x:v>No</x:v>
      </x:c>
    </x:row>
    <x:row r="139">
      <x:c r="A139" s="10" t="n">
        <x:v>46098.958333333336</x:v>
      </x:c>
      <x:c r="B139" s="11" t="n">
        <x:v>-238.17</x:v>
      </x:c>
      <x:c r="C139" s="9" t="str">
        <x:v>Trademax NZ Limited</x:v>
      </x:c>
      <x:c r="D139" s="9" t="str"/>
      <x:c r="E139" s="9" t="str"/>
      <x:c r="F139" s="9" t="str"/>
      <x:c r="G139" s="9" t="str">
        <x:v>BP</x:v>
      </x:c>
      <x:c r="H139" s="9" t="str">
        <x:v>02-0912-0376844-00</x:v>
      </x:c>
      <x:c r="I139" s="9" t="str">
        <x:v>Not imported</x:v>
      </x:c>
      <x:c r="J139" s="9" t="str">
        <x:v>GST purchase included</x:v>
      </x:c>
      <x:c r="K139" s="9" t="str">
        <x:v>Business purchase.</x:v>
      </x:c>
      <x:c r="L139" s="9" t="str">
        <x:v>vb77v9</x:v>
      </x:c>
      <x:c r="M139" s="9" t="str">
        <x:v>BNZ only</x:v>
      </x:c>
      <x:c r="N139" s="9" t="str">
        <x:v>See ledger</x:v>
      </x:c>
    </x:row>
    <x:row r="140">
      <x:c r="A140" s="10" t="n">
        <x:v>46098.958333333336</x:v>
      </x:c>
      <x:c r="B140" s="11" t="n">
        <x:v>-1076.85</x:v>
      </x:c>
      <x:c r="C140" s="9" t="str">
        <x:v>Dulux</x:v>
      </x:c>
      <x:c r="D140" s="9" t="str"/>
      <x:c r="E140" s="9" t="str"/>
      <x:c r="F140" s="9" t="str"/>
      <x:c r="G140" s="9" t="str">
        <x:v>BP</x:v>
      </x:c>
      <x:c r="H140" s="9" t="str">
        <x:v>03-0502-0287662-00</x:v>
      </x:c>
      <x:c r="I140" s="9" t="str">
        <x:v>Not imported</x:v>
      </x:c>
      <x:c r="J140" s="9" t="str">
        <x:v>GST purchase included</x:v>
      </x:c>
      <x:c r="K140" s="9" t="str">
        <x:v>Business purchase.</x:v>
      </x:c>
      <x:c r="L140" s="9" t="str">
        <x:v>9d5j4j</x:v>
      </x:c>
      <x:c r="M140" s="9" t="str">
        <x:v>BNZ only</x:v>
      </x:c>
      <x:c r="N140" s="9" t="str">
        <x:v>See ledger</x:v>
      </x:c>
    </x:row>
    <x:row r="141">
      <x:c r="A141" s="10" t="n">
        <x:v>46099.958333333336</x:v>
      </x:c>
      <x:c r="B141" s="11" t="n">
        <x:v>-135.29</x:v>
      </x:c>
      <x:c r="C141" s="9" t="str">
        <x:v>Resene - Wanaka 087</x:v>
      </x:c>
      <x:c r="D141" s="9" t="str">
        <x:v>5996</x:v>
      </x:c>
      <x:c r="E141" s="9" t="str">
        <x:v>Wanaka</x:v>
      </x:c>
      <x:c r="F141" s="9" t="str">
        <x:v>420549190844</x:v>
      </x:c>
      <x:c r="G141" s="9" t="str">
        <x:v>POS</x:v>
      </x:c>
      <x:c r="H141" s="9" t="str">
        <x:v>---</x:v>
      </x:c>
      <x:c r="I141" s="9" t="str">
        <x:v>Not imported</x:v>
      </x:c>
      <x:c r="J141" s="9" t="str">
        <x:v>GST purchase included</x:v>
      </x:c>
      <x:c r="K141" s="9" t="str">
        <x:v>Business purchase.</x:v>
      </x:c>
      <x:c r="L141" s="9" t="str">
        <x:v>dztne3</x:v>
      </x:c>
      <x:c r="M141" s="9" t="str">
        <x:v>BNZ only</x:v>
      </x:c>
      <x:c r="N141" s="9" t="str">
        <x:v>See ledger</x:v>
      </x:c>
    </x:row>
    <x:row r="142">
      <x:c r="A142" s="10" t="n">
        <x:v>46100.958333333336</x:v>
      </x:c>
      <x:c r="B142" s="11" t="n">
        <x:v>450</x:v>
      </x:c>
      <x:c r="C142" s="9" t="str">
        <x:v>CREONTE TAHUNA</x:v>
      </x:c>
      <x:c r="D142" s="9" t="str">
        <x:v>Creonte</x:v>
      </x:c>
      <x:c r="E142" s="9" t="str">
        <x:v>Tahuna</x:v>
      </x:c>
      <x:c r="F142" s="9" t="str">
        <x:v>IF0326</x:v>
      </x:c>
      <x:c r="G142" s="9" t="str">
        <x:v>BP</x:v>
      </x:c>
      <x:c r="H142" s="9" t="str">
        <x:v>02-0673-0177943-00</x:v>
      </x:c>
      <x:c r="I142" s="9" t="str">
        <x:v>Not imported</x:v>
      </x:c>
      <x:c r="J142" s="9" t="str">
        <x:v>Excluded transfer/personal</x:v>
      </x:c>
      <x:c r="K142" s="9" t="str"/>
      <x:c r="L142" s="9" t="str">
        <x:v>ocbx40</x:v>
      </x:c>
      <x:c r="M142" s="9" t="str">
        <x:v>BNZ only</x:v>
      </x:c>
      <x:c r="N142" s="9" t="str">
        <x:v>No</x:v>
      </x:c>
    </x:row>
    <x:row r="143">
      <x:c r="A143" s="10" t="n">
        <x:v>46100.958333333336</x:v>
      </x:c>
      <x:c r="B143" s="11" t="n">
        <x:v>-162.13</x:v>
      </x:c>
      <x:c r="C143" s="9" t="str">
        <x:v>BP CONNECT WANAKA</x:v>
      </x:c>
      <x:c r="D143" s="9" t="str">
        <x:v>5996</x:v>
      </x:c>
      <x:c r="E143" s="9" t="str">
        <x:v>WANAKA</x:v>
      </x:c>
      <x:c r="F143" s="9" t="str">
        <x:v>492102201504</x:v>
      </x:c>
      <x:c r="G143" s="9" t="str">
        <x:v>POS</x:v>
      </x:c>
      <x:c r="H143" s="9" t="str">
        <x:v>---</x:v>
      </x:c>
      <x:c r="I143" s="9" t="str">
        <x:v>Not imported</x:v>
      </x:c>
      <x:c r="J143" s="9" t="str">
        <x:v>GST purchase included</x:v>
      </x:c>
      <x:c r="K143" s="9" t="str">
        <x:v>Business purchase.</x:v>
      </x:c>
      <x:c r="L143" s="9" t="str">
        <x:v>mftvb4</x:v>
      </x:c>
      <x:c r="M143" s="9" t="str">
        <x:v>BNZ only</x:v>
      </x:c>
      <x:c r="N143" s="9" t="str">
        <x:v>See ledger</x:v>
      </x:c>
    </x:row>
    <x:row r="144">
      <x:c r="A144" s="10" t="n">
        <x:v>46100.958333333336</x:v>
      </x:c>
      <x:c r="B144" s="11" t="n">
        <x:v>-90.83</x:v>
      </x:c>
      <x:c r="C144" s="9" t="str">
        <x:v>MITRE 10 MEGA WANAKA</x:v>
      </x:c>
      <x:c r="D144" s="9" t="str">
        <x:v>5996</x:v>
      </x:c>
      <x:c r="E144" s="9" t="str">
        <x:v>WANAKA</x:v>
      </x:c>
      <x:c r="F144" s="9" t="str">
        <x:v>434667201208</x:v>
      </x:c>
      <x:c r="G144" s="9" t="str">
        <x:v>POS</x:v>
      </x:c>
      <x:c r="H144" s="9" t="str">
        <x:v>---</x:v>
      </x:c>
      <x:c r="I144" s="9" t="str">
        <x:v>Not imported</x:v>
      </x:c>
      <x:c r="J144" s="9" t="str">
        <x:v>GST purchase included</x:v>
      </x:c>
      <x:c r="K144" s="9" t="str">
        <x:v>Business purchase.</x:v>
      </x:c>
      <x:c r="L144" s="9" t="str">
        <x:v>a52egs</x:v>
      </x:c>
      <x:c r="M144" s="9" t="str">
        <x:v>BNZ only</x:v>
      </x:c>
      <x:c r="N144" s="9" t="str">
        <x:v>See ledger</x:v>
      </x:c>
    </x:row>
    <x:row r="145">
      <x:c r="A145" s="10" t="n">
        <x:v>46100.958333333336</x:v>
      </x:c>
      <x:c r="B145" s="11" t="n">
        <x:v>489.9</x:v>
      </x:c>
      <x:c r="C145" s="9" t="str">
        <x:v>Latch Build Lim</x:v>
      </x:c>
      <x:c r="D145" s="9" t="str"/>
      <x:c r="E145" s="9" t="str"/>
      <x:c r="F145" s="9" t="str">
        <x:v>LATCH</x:v>
      </x:c>
      <x:c r="G145" s="9" t="str">
        <x:v>DC</x:v>
      </x:c>
      <x:c r="H145" s="9" t="str">
        <x:v>03-1739-0166169-00</x:v>
      </x:c>
      <x:c r="I145" s="9" t="str">
        <x:v>Not imported</x:v>
      </x:c>
      <x:c r="J145" s="9" t="str">
        <x:v>Taxable customer receipt</x:v>
      </x:c>
      <x:c r="K145" s="9" t="str"/>
      <x:c r="L145" s="9" t="str">
        <x:v>t3m0qs</x:v>
      </x:c>
      <x:c r="M145" s="9" t="str">
        <x:v>BNZ only</x:v>
      </x:c>
      <x:c r="N145" s="9" t="str">
        <x:v>See ledger</x:v>
      </x:c>
    </x:row>
    <x:row r="146">
      <x:c r="A146" s="10" t="n">
        <x:v>46100.958333333336</x:v>
      </x:c>
      <x:c r="B146" s="11" t="n">
        <x:v>-10.49</x:v>
      </x:c>
      <x:c r="C146" s="9" t="str">
        <x:v>MITRE 10 MEGA WANAKA</x:v>
      </x:c>
      <x:c r="D146" s="9" t="str">
        <x:v>5996</x:v>
      </x:c>
      <x:c r="E146" s="9" t="str">
        <x:v>WANAKA</x:v>
      </x:c>
      <x:c r="F146" s="9" t="str">
        <x:v>434667201225</x:v>
      </x:c>
      <x:c r="G146" s="9" t="str">
        <x:v>POS</x:v>
      </x:c>
      <x:c r="H146" s="9" t="str">
        <x:v>---</x:v>
      </x:c>
      <x:c r="I146" s="9" t="str">
        <x:v>Not imported</x:v>
      </x:c>
      <x:c r="J146" s="9" t="str">
        <x:v>GST purchase included</x:v>
      </x:c>
      <x:c r="K146" s="9" t="str">
        <x:v>Business purchase.</x:v>
      </x:c>
      <x:c r="L146" s="9" t="str">
        <x:v>sstd4t</x:v>
      </x:c>
      <x:c r="M146" s="9" t="str">
        <x:v>BNZ only</x:v>
      </x:c>
      <x:c r="N146" s="9" t="str">
        <x:v>See ledger</x:v>
      </x:c>
    </x:row>
    <x:row r="147">
      <x:c r="A147" s="10" t="n">
        <x:v>46100.958333333336</x:v>
      </x:c>
      <x:c r="B147" s="11" t="n">
        <x:v>-600</x:v>
      </x:c>
      <x:c r="C147" s="9" t="str">
        <x:v>YouMoney</x:v>
      </x:c>
      <x:c r="D147" s="9" t="str"/>
      <x:c r="E147" s="9" t="str"/>
      <x:c r="F147" s="9" t="str">
        <x:v>INTERNET XFR</x:v>
      </x:c>
      <x:c r="G147" s="9" t="str">
        <x:v>FT</x:v>
      </x:c>
      <x:c r="H147" s="9" t="str">
        <x:v>02-0568-0080488-83</x:v>
      </x:c>
      <x:c r="I147" s="9" t="str">
        <x:v>Not imported</x:v>
      </x:c>
      <x:c r="J147" s="9" t="str">
        <x:v>Excluded</x:v>
      </x:c>
      <x:c r="K147" s="9" t="str">
        <x:v>Personal, transfer, tax, cash withdrawal, food or entertainment; no GST claim.</x:v>
      </x:c>
      <x:c r="L147" s="9" t="str">
        <x:v>cenzg3</x:v>
      </x:c>
      <x:c r="M147" s="9" t="str">
        <x:v>BNZ only</x:v>
      </x:c>
      <x:c r="N147" s="9" t="str">
        <x:v>No</x:v>
      </x:c>
    </x:row>
    <x:row r="148">
      <x:c r="A148" s="10" t="n">
        <x:v>46102.958333333336</x:v>
      </x:c>
      <x:c r="B148" s="11" t="n">
        <x:v>-330.24</x:v>
      </x:c>
      <x:c r="C148" s="9" t="str">
        <x:v>New World Three Park</x:v>
      </x:c>
      <x:c r="D148" s="9" t="str">
        <x:v>5996</x:v>
      </x:c>
      <x:c r="E148" s="9" t="str">
        <x:v>Wanaka</x:v>
      </x:c>
      <x:c r="F148" s="9" t="str">
        <x:v>420549221302</x:v>
      </x:c>
      <x:c r="G148" s="9" t="str">
        <x:v>POS</x:v>
      </x:c>
      <x:c r="H148" s="9" t="str">
        <x:v>---</x:v>
      </x:c>
      <x:c r="I148" s="9" t="str">
        <x:v>Not imported</x:v>
      </x:c>
      <x:c r="J148" s="9" t="str">
        <x:v>Excluded</x:v>
      </x:c>
      <x:c r="K148" s="9" t="str">
        <x:v>Personal, transfer, tax, cash withdrawal, food or entertainment; no GST claim.</x:v>
      </x:c>
      <x:c r="L148" s="9" t="str">
        <x:v>teadle</x:v>
      </x:c>
      <x:c r="M148" s="9" t="str">
        <x:v>BNZ only</x:v>
      </x:c>
      <x:c r="N148" s="9" t="str">
        <x:v>No</x:v>
      </x:c>
    </x:row>
    <x:row r="149">
      <x:c r="A149" s="10" t="n">
        <x:v>46103.958333333336</x:v>
      </x:c>
      <x:c r="B149" s="11" t="n">
        <x:v>-100.97</x:v>
      </x:c>
      <x:c r="C149" s="9" t="str">
        <x:v>MITRE 10 MEGA WANAKA</x:v>
      </x:c>
      <x:c r="D149" s="9" t="str">
        <x:v>5996</x:v>
      </x:c>
      <x:c r="E149" s="9" t="str">
        <x:v>WANAKA</x:v>
      </x:c>
      <x:c r="F149" s="9" t="str">
        <x:v>434667231309</x:v>
      </x:c>
      <x:c r="G149" s="9" t="str">
        <x:v>POS</x:v>
      </x:c>
      <x:c r="H149" s="9" t="str">
        <x:v>---</x:v>
      </x:c>
      <x:c r="I149" s="9" t="str">
        <x:v>Not imported</x:v>
      </x:c>
      <x:c r="J149" s="9" t="str">
        <x:v>GST purchase included</x:v>
      </x:c>
      <x:c r="K149" s="9" t="str">
        <x:v>Business purchase.</x:v>
      </x:c>
      <x:c r="L149" s="9" t="str">
        <x:v>xb1i1</x:v>
      </x:c>
      <x:c r="M149" s="9" t="str">
        <x:v>BNZ only</x:v>
      </x:c>
      <x:c r="N149" s="9" t="str">
        <x:v>See ledger</x:v>
      </x:c>
    </x:row>
    <x:row r="150">
      <x:c r="A150" s="10" t="n">
        <x:v>46104.958333333336</x:v>
      </x:c>
      <x:c r="B150" s="11" t="n">
        <x:v>-695.98</x:v>
      </x:c>
      <x:c r="C150" s="9" t="str">
        <x:v>MITRE 10 MEGA WANAKA</x:v>
      </x:c>
      <x:c r="D150" s="9" t="str">
        <x:v>5996</x:v>
      </x:c>
      <x:c r="E150" s="9" t="str">
        <x:v>WANAKA</x:v>
      </x:c>
      <x:c r="F150" s="9" t="str">
        <x:v>434667241209</x:v>
      </x:c>
      <x:c r="G150" s="9" t="str">
        <x:v>POS</x:v>
      </x:c>
      <x:c r="H150" s="9" t="str">
        <x:v>---</x:v>
      </x:c>
      <x:c r="I150" s="9" t="str">
        <x:v>Not imported</x:v>
      </x:c>
      <x:c r="J150" s="9" t="str">
        <x:v>GST purchase included</x:v>
      </x:c>
      <x:c r="K150" s="9" t="str">
        <x:v>Business purchase.</x:v>
      </x:c>
      <x:c r="L150" s="9" t="str">
        <x:v>fddb4e</x:v>
      </x:c>
      <x:c r="M150" s="9" t="str">
        <x:v>BNZ only</x:v>
      </x:c>
      <x:c r="N150" s="9" t="str">
        <x:v>See ledger</x:v>
      </x:c>
    </x:row>
    <x:row r="151">
      <x:c r="A151" s="10" t="n">
        <x:v>46105.958333333336</x:v>
      </x:c>
      <x:c r="B151" s="11" t="n">
        <x:v>-111.87</x:v>
      </x:c>
      <x:c r="C151" s="9" t="str">
        <x:v>MITRE 10 MEGA WANAKA</x:v>
      </x:c>
      <x:c r="D151" s="9" t="str">
        <x:v>5996</x:v>
      </x:c>
      <x:c r="E151" s="9" t="str">
        <x:v>WANAKA</x:v>
      </x:c>
      <x:c r="F151" s="9" t="str">
        <x:v>434667251313</x:v>
      </x:c>
      <x:c r="G151" s="9" t="str">
        <x:v>POS</x:v>
      </x:c>
      <x:c r="H151" s="9" t="str">
        <x:v>---</x:v>
      </x:c>
      <x:c r="I151" s="9" t="str">
        <x:v>Not imported</x:v>
      </x:c>
      <x:c r="J151" s="9" t="str">
        <x:v>GST purchase included</x:v>
      </x:c>
      <x:c r="K151" s="9" t="str">
        <x:v>Business purchase.</x:v>
      </x:c>
      <x:c r="L151" s="9" t="str">
        <x:v>p6ca1l</x:v>
      </x:c>
      <x:c r="M151" s="9" t="str">
        <x:v>BNZ only</x:v>
      </x:c>
      <x:c r="N151" s="9" t="str">
        <x:v>See ledger</x:v>
      </x:c>
    </x:row>
    <x:row r="152">
      <x:c r="A152" s="10" t="n">
        <x:v>46105.958333333336</x:v>
      </x:c>
      <x:c r="B152" s="11" t="n">
        <x:v>-100.05</x:v>
      </x:c>
      <x:c r="C152" s="9" t="str">
        <x:v>RS TRADE CENTRE</x:v>
      </x:c>
      <x:c r="D152" s="9" t="str">
        <x:v>5996</x:v>
      </x:c>
      <x:c r="E152" s="9" t="str">
        <x:v>CHRISTCHURCH</x:v>
      </x:c>
      <x:c r="F152" s="9" t="str">
        <x:v>434667251203</x:v>
      </x:c>
      <x:c r="G152" s="9" t="str">
        <x:v>POS</x:v>
      </x:c>
      <x:c r="H152" s="9" t="str">
        <x:v>---</x:v>
      </x:c>
      <x:c r="I152" s="9" t="str">
        <x:v>Not imported</x:v>
      </x:c>
      <x:c r="J152" s="9" t="str">
        <x:v>GST purchase included</x:v>
      </x:c>
      <x:c r="K152" s="9" t="str">
        <x:v>Business purchase.</x:v>
      </x:c>
      <x:c r="L152" s="9" t="str">
        <x:v>8y1rf2</x:v>
      </x:c>
      <x:c r="M152" s="9" t="str">
        <x:v>BNZ only</x:v>
      </x:c>
      <x:c r="N152" s="9" t="str">
        <x:v>See ledger</x:v>
      </x:c>
    </x:row>
    <x:row r="153">
      <x:c r="A153" s="10" t="n">
        <x:v>46106.958333333336</x:v>
      </x:c>
      <x:c r="B153" s="11" t="n">
        <x:v>500</x:v>
      </x:c>
      <x:c r="C153" s="9" t="str">
        <x:v>YouMoney</x:v>
      </x:c>
      <x:c r="D153" s="9" t="str"/>
      <x:c r="E153" s="9" t="str"/>
      <x:c r="F153" s="9" t="str">
        <x:v>INTERNET XFR</x:v>
      </x:c>
      <x:c r="G153" s="9" t="str">
        <x:v>FT</x:v>
      </x:c>
      <x:c r="H153" s="9" t="str">
        <x:v>02-0568-0080488-83</x:v>
      </x:c>
      <x:c r="I153" s="9" t="str">
        <x:v>Not imported</x:v>
      </x:c>
      <x:c r="J153" s="9" t="str">
        <x:v>Excluded transfer/personal</x:v>
      </x:c>
      <x:c r="K153" s="9" t="str"/>
      <x:c r="L153" s="9" t="str">
        <x:v>f5w6dh</x:v>
      </x:c>
      <x:c r="M153" s="9" t="str">
        <x:v>BNZ only</x:v>
      </x:c>
      <x:c r="N153" s="9" t="str">
        <x:v>No</x:v>
      </x:c>
    </x:row>
    <x:row r="154">
      <x:c r="A154" s="10" t="n">
        <x:v>46106.958333333336</x:v>
      </x:c>
      <x:c r="B154" s="11" t="n">
        <x:v>-207.62</x:v>
      </x:c>
      <x:c r="C154" s="9" t="str">
        <x:v>APPAREL STUDIO</x:v>
      </x:c>
      <x:c r="D154" s="9" t="str">
        <x:v>5996</x:v>
      </x:c>
      <x:c r="E154" s="9" t="str">
        <x:v>WANAKA</x:v>
      </x:c>
      <x:c r="F154" s="9" t="str">
        <x:v>455046261406</x:v>
      </x:c>
      <x:c r="G154" s="9" t="str">
        <x:v>POS</x:v>
      </x:c>
      <x:c r="H154" s="9" t="str">
        <x:v>---</x:v>
      </x:c>
      <x:c r="I154" s="9" t="str">
        <x:v>Not imported</x:v>
      </x:c>
      <x:c r="J154" s="9" t="str">
        <x:v>GST purchase included</x:v>
      </x:c>
      <x:c r="K154" s="9" t="str">
        <x:v>Business purchase.</x:v>
      </x:c>
      <x:c r="L154" s="9" t="str">
        <x:v>gxpy7v</x:v>
      </x:c>
      <x:c r="M154" s="9" t="str">
        <x:v>BNZ only</x:v>
      </x:c>
      <x:c r="N154" s="9" t="str">
        <x:v>See ledger</x:v>
      </x:c>
    </x:row>
    <x:row r="155">
      <x:c r="A155" s="10" t="n">
        <x:v>46106.958333333336</x:v>
      </x:c>
      <x:c r="B155" s="11" t="n">
        <x:v>4766.75</x:v>
      </x:c>
      <x:c r="C155" s="9" t="str">
        <x:v>IVY LANE COTT</x:v>
      </x:c>
      <x:c r="D155" s="9" t="str">
        <x:v>Hilarywaller</x:v>
      </x:c>
      <x:c r="E155" s="9" t="str">
        <x:v>Painting</x:v>
      </x:c>
      <x:c r="F155" s="9" t="str">
        <x:v>J7</x:v>
      </x:c>
      <x:c r="G155" s="9" t="str">
        <x:v>BP</x:v>
      </x:c>
      <x:c r="H155" s="9" t="str">
        <x:v>06-0925-0899759-00</x:v>
      </x:c>
      <x:c r="I155" s="9" t="str">
        <x:v>Not imported</x:v>
      </x:c>
      <x:c r="J155" s="9" t="str">
        <x:v>Taxable customer receipt</x:v>
      </x:c>
      <x:c r="K155" s="9" t="str"/>
      <x:c r="L155" s="9" t="str">
        <x:v>44ftyw</x:v>
      </x:c>
      <x:c r="M155" s="9" t="str">
        <x:v>BNZ only</x:v>
      </x:c>
      <x:c r="N155" s="9" t="str">
        <x:v>See ledger</x:v>
      </x:c>
    </x:row>
    <x:row r="156">
      <x:c r="A156" s="10" t="n">
        <x:v>46107.958333333336</x:v>
      </x:c>
      <x:c r="B156" s="11" t="n">
        <x:v>248.4</x:v>
      </x:c>
      <x:c r="C156" s="9" t="str">
        <x:v>DAY SAMUEL DA</x:v>
      </x:c>
      <x:c r="D156" s="9" t="str">
        <x:v>Mural wallpa</x:v>
      </x:c>
      <x:c r="E156" s="9" t="str"/>
      <x:c r="F156" s="9" t="str">
        <x:v>18 Mason str</x:v>
      </x:c>
      <x:c r="G156" s="9" t="str">
        <x:v>BP</x:v>
      </x:c>
      <x:c r="H156" s="9" t="str">
        <x:v>06-0943-0808072-00</x:v>
      </x:c>
      <x:c r="I156" s="9" t="str">
        <x:v>Not imported</x:v>
      </x:c>
      <x:c r="J156" s="9" t="str">
        <x:v>Taxable customer receipt</x:v>
      </x:c>
      <x:c r="K156" s="9" t="str"/>
      <x:c r="L156" s="9" t="str">
        <x:v>4qwkld</x:v>
      </x:c>
      <x:c r="M156" s="9" t="str">
        <x:v>BNZ only</x:v>
      </x:c>
      <x:c r="N156" s="9" t="str">
        <x:v>See ledger</x:v>
      </x:c>
    </x:row>
    <x:row r="157">
      <x:c r="A157" s="10" t="n">
        <x:v>46107.958333333336</x:v>
      </x:c>
      <x:c r="B157" s="11" t="n">
        <x:v>-40.91</x:v>
      </x:c>
      <x:c r="C157" s="9" t="str">
        <x:v>ANTHROPIC</x:v>
      </x:c>
      <x:c r="D157" s="9" t="str">
        <x:v>5996</x:v>
      </x:c>
      <x:c r="E157" s="9" t="str">
        <x:v>ANTHROPIC.CO</x:v>
      </x:c>
      <x:c r="F157" s="9" t="str">
        <x:v>401134272036</x:v>
      </x:c>
      <x:c r="G157" s="9" t="str">
        <x:v>POS</x:v>
      </x:c>
      <x:c r="H157" s="9" t="str">
        <x:v>---</x:v>
      </x:c>
      <x:c r="I157" s="9" t="str">
        <x:v>Not imported</x:v>
      </x:c>
      <x:c r="J157" s="9" t="str">
        <x:v>GST purchase included</x:v>
      </x:c>
      <x:c r="K157" s="9" t="str">
        <x:v>Included provisionally; overseas software is claimable only if NZ GST was actually charged.</x:v>
      </x:c>
      <x:c r="L157" s="9" t="str">
        <x:v>fei5n8</x:v>
      </x:c>
      <x:c r="M157" s="9" t="str">
        <x:v>BNZ only</x:v>
      </x:c>
      <x:c r="N157" s="9" t="str">
        <x:v>See ledger</x:v>
      </x:c>
    </x:row>
    <x:row r="158">
      <x:c r="A158" s="10" t="n">
        <x:v>46109.958333333336</x:v>
      </x:c>
      <x:c r="B158" s="11" t="n">
        <x:v>-20.5</x:v>
      </x:c>
      <x:c r="C158" s="9" t="str">
        <x:v>OPENAI</x:v>
      </x:c>
      <x:c r="D158" s="9" t="str">
        <x:v>5996</x:v>
      </x:c>
      <x:c r="E158" s="9" t="str">
        <x:v>OPENAI.COM</x:v>
      </x:c>
      <x:c r="F158" s="9" t="str">
        <x:v>449216281457</x:v>
      </x:c>
      <x:c r="G158" s="9" t="str">
        <x:v>POS</x:v>
      </x:c>
      <x:c r="H158" s="9" t="str">
        <x:v>---</x:v>
      </x:c>
      <x:c r="I158" s="9" t="str">
        <x:v>Not imported</x:v>
      </x:c>
      <x:c r="J158" s="9" t="str">
        <x:v>GST purchase included</x:v>
      </x:c>
      <x:c r="K158" s="9" t="str">
        <x:v>Included provisionally; overseas software is claimable only if NZ GST was actually charged.</x:v>
      </x:c>
      <x:c r="L158" s="9" t="str">
        <x:v>gblnt</x:v>
      </x:c>
      <x:c r="M158" s="9" t="str">
        <x:v>BNZ only</x:v>
      </x:c>
      <x:c r="N158" s="9" t="str">
        <x:v>See ledger</x:v>
      </x:c>
    </x:row>
    <x:row r="159">
      <x:c r="A159" s="10" t="n">
        <x:v>46110.958333333336</x:v>
      </x:c>
      <x:c r="B159" s="11" t="n">
        <x:v>-7.99</x:v>
      </x:c>
      <x:c r="C159" s="9" t="str">
        <x:v>MITRE 10 MEGA WANAKA</x:v>
      </x:c>
      <x:c r="D159" s="9" t="str">
        <x:v>5996</x:v>
      </x:c>
      <x:c r="E159" s="9" t="str">
        <x:v>WANAKA</x:v>
      </x:c>
      <x:c r="F159" s="9" t="str">
        <x:v>434667301420</x:v>
      </x:c>
      <x:c r="G159" s="9" t="str">
        <x:v>POS</x:v>
      </x:c>
      <x:c r="H159" s="9" t="str">
        <x:v>---</x:v>
      </x:c>
      <x:c r="I159" s="9" t="str">
        <x:v>Not imported</x:v>
      </x:c>
      <x:c r="J159" s="9" t="str">
        <x:v>GST purchase included</x:v>
      </x:c>
      <x:c r="K159" s="9" t="str">
        <x:v>Business purchase.</x:v>
      </x:c>
      <x:c r="L159" s="9" t="str">
        <x:v>tmyex5</x:v>
      </x:c>
      <x:c r="M159" s="9" t="str">
        <x:v>BNZ only</x:v>
      </x:c>
      <x:c r="N159" s="9" t="str">
        <x:v>See ledger</x:v>
      </x:c>
    </x:row>
    <x:row r="160">
      <x:c r="A160" s="10" t="n">
        <x:v>46110.958333333336</x:v>
      </x:c>
      <x:c r="B160" s="11" t="n">
        <x:v>-47.94</x:v>
      </x:c>
      <x:c r="C160" s="9" t="str">
        <x:v>MITRE 10 MEGA WANAKA</x:v>
      </x:c>
      <x:c r="D160" s="9" t="str">
        <x:v>5996</x:v>
      </x:c>
      <x:c r="E160" s="9" t="str">
        <x:v>WANAKA</x:v>
      </x:c>
      <x:c r="F160" s="9" t="str">
        <x:v>434667301421</x:v>
      </x:c>
      <x:c r="G160" s="9" t="str">
        <x:v>POS</x:v>
      </x:c>
      <x:c r="H160" s="9" t="str">
        <x:v>---</x:v>
      </x:c>
      <x:c r="I160" s="9" t="str">
        <x:v>Not imported</x:v>
      </x:c>
      <x:c r="J160" s="9" t="str">
        <x:v>GST purchase included</x:v>
      </x:c>
      <x:c r="K160" s="9" t="str">
        <x:v>Business purchase.</x:v>
      </x:c>
      <x:c r="L160" s="9" t="str">
        <x:v>2drpo9</x:v>
      </x:c>
      <x:c r="M160" s="9" t="str">
        <x:v>BNZ only</x:v>
      </x:c>
      <x:c r="N160" s="9" t="str">
        <x:v>See ledger</x:v>
      </x:c>
    </x:row>
    <x:row r="161">
      <x:c r="A161" s="10" t="n">
        <x:v>46110.958333333336</x:v>
      </x:c>
      <x:c r="B161" s="11" t="n">
        <x:v>-110</x:v>
      </x:c>
      <x:c r="C161" s="9" t="str">
        <x:v>BP CONNECT WANAKA</x:v>
      </x:c>
      <x:c r="D161" s="9" t="str">
        <x:v>5996</x:v>
      </x:c>
      <x:c r="E161" s="9" t="str">
        <x:v>WANAKA</x:v>
      </x:c>
      <x:c r="F161" s="9" t="str">
        <x:v>492102301455</x:v>
      </x:c>
      <x:c r="G161" s="9" t="str">
        <x:v>POS</x:v>
      </x:c>
      <x:c r="H161" s="9" t="str">
        <x:v>---</x:v>
      </x:c>
      <x:c r="I161" s="9" t="str">
        <x:v>Not imported</x:v>
      </x:c>
      <x:c r="J161" s="9" t="str">
        <x:v>GST purchase included</x:v>
      </x:c>
      <x:c r="K161" s="9" t="str">
        <x:v>Business purchase.</x:v>
      </x:c>
      <x:c r="L161" s="9" t="str">
        <x:v>7clvjw</x:v>
      </x:c>
      <x:c r="M161" s="9" t="str">
        <x:v>BNZ only</x:v>
      </x:c>
      <x:c r="N161" s="9" t="str">
        <x:v>See ledger</x:v>
      </x:c>
    </x:row>
    <x:row r="162">
      <x:c r="A162" s="10" t="n">
        <x:v>46110.958333333336</x:v>
      </x:c>
      <x:c r="B162" s="11" t="n">
        <x:v>-58</x:v>
      </x:c>
      <x:c r="C162" s="9" t="str">
        <x:v>ALI BARBERS</x:v>
      </x:c>
      <x:c r="D162" s="9" t="str">
        <x:v>5996</x:v>
      </x:c>
      <x:c r="E162" s="9" t="str">
        <x:v>WWW.ALIBARBE</x:v>
      </x:c>
      <x:c r="F162" s="9" t="str">
        <x:v>448131301406</x:v>
      </x:c>
      <x:c r="G162" s="9" t="str">
        <x:v>POS</x:v>
      </x:c>
      <x:c r="H162" s="9" t="str">
        <x:v>---</x:v>
      </x:c>
      <x:c r="I162" s="9" t="str">
        <x:v>Not imported</x:v>
      </x:c>
      <x:c r="J162" s="9" t="str">
        <x:v>Excluded</x:v>
      </x:c>
      <x:c r="K162" s="9" t="str">
        <x:v>Personal, transfer, tax, cash withdrawal, food or entertainment; no GST claim.</x:v>
      </x:c>
      <x:c r="L162" s="9" t="str">
        <x:v>up04le</x:v>
      </x:c>
      <x:c r="M162" s="9" t="str">
        <x:v>BNZ only</x:v>
      </x:c>
      <x:c r="N162" s="9" t="str">
        <x:v>No</x:v>
      </x:c>
    </x:row>
    <x:row r="163">
      <x:c r="A163" s="10" t="n">
        <x:v>46111.958333333336</x:v>
      </x:c>
      <x:c r="B163" s="11" t="n">
        <x:v>-182.2</x:v>
      </x:c>
      <x:c r="C163" s="9" t="str">
        <x:v>MITRE 10 MEGA WANAKA</x:v>
      </x:c>
      <x:c r="D163" s="9" t="str">
        <x:v>5996</x:v>
      </x:c>
      <x:c r="E163" s="9" t="str">
        <x:v>WANAKA</x:v>
      </x:c>
      <x:c r="F163" s="9" t="str">
        <x:v>434667311311</x:v>
      </x:c>
      <x:c r="G163" s="9" t="str">
        <x:v>POS</x:v>
      </x:c>
      <x:c r="H163" s="9" t="str">
        <x:v>---</x:v>
      </x:c>
      <x:c r="I163" s="9" t="str">
        <x:v>Not imported</x:v>
      </x:c>
      <x:c r="J163" s="9" t="str">
        <x:v>GST purchase included</x:v>
      </x:c>
      <x:c r="K163" s="9" t="str">
        <x:v>Business purchase.</x:v>
      </x:c>
      <x:c r="L163" s="9" t="str">
        <x:v>wwtnis</x:v>
      </x:c>
      <x:c r="M163" s="9" t="str">
        <x:v>BNZ only</x:v>
      </x:c>
      <x:c r="N163" s="9" t="str">
        <x:v>See ledger</x:v>
      </x:c>
    </x:row>
    <x:row r="164">
      <x:c r="A164" s="10" t="n">
        <x:v>46112.958333333336</x:v>
      </x:c>
      <x:c r="B164" s="11" t="n">
        <x:v>-152.45</x:v>
      </x:c>
      <x:c r="C164" s="9" t="str">
        <x:v>MITRE 10 MEGA WANAKA</x:v>
      </x:c>
      <x:c r="D164" s="9" t="str">
        <x:v>5996</x:v>
      </x:c>
      <x:c r="E164" s="9" t="str">
        <x:v>WANAKA</x:v>
      </x:c>
      <x:c r="F164" s="9" t="str">
        <x:v>434667011423</x:v>
      </x:c>
      <x:c r="G164" s="9" t="str">
        <x:v>POS</x:v>
      </x:c>
      <x:c r="H164" s="9" t="str">
        <x:v>---</x:v>
      </x:c>
      <x:c r="I164" s="9" t="str">
        <x:v>Not imported</x:v>
      </x:c>
      <x:c r="J164" s="9" t="str">
        <x:v>GST purchase included</x:v>
      </x:c>
      <x:c r="K164" s="9" t="str">
        <x:v>Business purchase.</x:v>
      </x:c>
      <x:c r="L164" s="9" t="str">
        <x:v>h0e5ht</x:v>
      </x:c>
      <x:c r="M164" s="9" t="str">
        <x:v>BNZ only</x:v>
      </x:c>
      <x:c r="N164" s="9" t="str">
        <x:v>See ledger</x:v>
      </x:c>
    </x:row>
    <x:row r="165">
      <x:c r="A165" s="10" t="n">
        <x:v>46112.958333333336</x:v>
      </x:c>
      <x:c r="B165" s="11" t="n">
        <x:v>-223.83</x:v>
      </x:c>
      <x:c r="C165" s="9" t="str">
        <x:v>Resene - Wanaka 087</x:v>
      </x:c>
      <x:c r="D165" s="9" t="str">
        <x:v>5996</x:v>
      </x:c>
      <x:c r="E165" s="9" t="str">
        <x:v>Wanaka</x:v>
      </x:c>
      <x:c r="F165" s="9" t="str">
        <x:v>420549010942</x:v>
      </x:c>
      <x:c r="G165" s="9" t="str">
        <x:v>POS</x:v>
      </x:c>
      <x:c r="H165" s="9" t="str">
        <x:v>---</x:v>
      </x:c>
      <x:c r="I165" s="9" t="str">
        <x:v>Not imported</x:v>
      </x:c>
      <x:c r="J165" s="9" t="str">
        <x:v>GST purchase included</x:v>
      </x:c>
      <x:c r="K165" s="9" t="str">
        <x:v>Business purchase.</x:v>
      </x:c>
      <x:c r="L165" s="9" t="str">
        <x:v>qjn7pd</x:v>
      </x:c>
      <x:c r="M165" s="9" t="str">
        <x:v>BNZ only</x:v>
      </x:c>
      <x:c r="N165" s="9" t="str">
        <x:v>See ledger</x:v>
      </x:c>
    </x:row>
    <x:row r="166">
      <x:c r="A166" s="10" t="n">
        <x:v>46112.958333333336</x:v>
      </x:c>
      <x:c r="B166" s="11" t="n">
        <x:v>2501.25</x:v>
      </x:c>
      <x:c r="C166" s="9" t="str">
        <x:v>Home &amp; Co</x:v>
      </x:c>
      <x:c r="D166" s="9" t="str"/>
      <x:c r="E166" s="9" t="str"/>
      <x:c r="F166" s="9" t="str">
        <x:v>Lakesidepain</x:v>
      </x:c>
      <x:c r="G166" s="9" t="str">
        <x:v>DC</x:v>
      </x:c>
      <x:c r="H166" s="9" t="str">
        <x:v>02-0673-0130563-01</x:v>
      </x:c>
      <x:c r="I166" s="9" t="str">
        <x:v>Not imported</x:v>
      </x:c>
      <x:c r="J166" s="9" t="str">
        <x:v>Taxable customer receipt</x:v>
      </x:c>
      <x:c r="K166" s="9" t="str"/>
      <x:c r="L166" s="9" t="str">
        <x:v>uty5dy</x:v>
      </x:c>
      <x:c r="M166" s="9" t="str">
        <x:v>BNZ only</x:v>
      </x:c>
      <x:c r="N166" s="9" t="str">
        <x:v>See ledger</x:v>
      </x:c>
    </x:row>
    <x:row r="167">
      <x:c r="A167" s="10" t="n">
        <x:v>46113.958333333336</x:v>
      </x:c>
      <x:c r="B167" s="11" t="n">
        <x:v>-14.02</x:v>
      </x:c>
      <x:c r="C167" s="9" t="str">
        <x:v>Google Workspace_lak</x:v>
      </x:c>
      <x:c r="D167" s="9" t="str">
        <x:v>5996</x:v>
      </x:c>
      <x:c r="E167" s="9" t="str">
        <x:v>Auckland</x:v>
      </x:c>
      <x:c r="F167" s="9" t="str">
        <x:v>453241021356</x:v>
      </x:c>
      <x:c r="G167" s="9" t="str">
        <x:v>POS</x:v>
      </x:c>
      <x:c r="H167" s="9" t="str">
        <x:v>---</x:v>
      </x:c>
      <x:c r="I167" s="9" t="str">
        <x:v>Not imported</x:v>
      </x:c>
      <x:c r="J167" s="9" t="str">
        <x:v>GST purchase included</x:v>
      </x:c>
      <x:c r="K167" s="9" t="str">
        <x:v>Business purchase.</x:v>
      </x:c>
      <x:c r="L167" s="9" t="str">
        <x:v>vx3q57</x:v>
      </x:c>
      <x:c r="M167" s="9" t="str">
        <x:v>BNZ only</x:v>
      </x:c>
      <x:c r="N167" s="9" t="str">
        <x:v>See ledger</x:v>
      </x:c>
    </x:row>
    <x:row r="168">
      <x:c r="A168" s="10" t="n">
        <x:v>46113.958333333336</x:v>
      </x:c>
      <x:c r="B168" s="11" t="n">
        <x:v>-40</x:v>
      </x:c>
      <x:c r="C168" s="9" t="str">
        <x:v>CLAUDE.AI SUBSCRIPTI</x:v>
      </x:c>
      <x:c r="D168" s="9" t="str">
        <x:v>5996</x:v>
      </x:c>
      <x:c r="E168" s="9" t="str">
        <x:v>ANTHROPIC.CO</x:v>
      </x:c>
      <x:c r="F168" s="9" t="str">
        <x:v>401134022140</x:v>
      </x:c>
      <x:c r="G168" s="9" t="str">
        <x:v>POS</x:v>
      </x:c>
      <x:c r="H168" s="9" t="str">
        <x:v>---</x:v>
      </x:c>
      <x:c r="I168" s="9" t="str">
        <x:v>Not imported</x:v>
      </x:c>
      <x:c r="J168" s="9" t="str">
        <x:v>GST purchase included</x:v>
      </x:c>
      <x:c r="K168" s="9" t="str">
        <x:v>Included provisionally; overseas software is claimable only if NZ GST was actually charged.</x:v>
      </x:c>
      <x:c r="L168" s="9" t="str">
        <x:v>who88x</x:v>
      </x:c>
      <x:c r="M168" s="9" t="str">
        <x:v>BNZ only</x:v>
      </x:c>
      <x:c r="N168" s="9" t="str">
        <x:v>See ledger</x:v>
      </x:c>
    </x:row>
    <x:row r="169">
      <x:c r="A169" s="10" t="n">
        <x:v>46113.958333333336</x:v>
      </x:c>
      <x:c r="B169" s="11" t="n">
        <x:v>-36.46</x:v>
      </x:c>
      <x:c r="C169" s="9" t="str">
        <x:v>CURSOR  AI POWERED I</x:v>
      </x:c>
      <x:c r="D169" s="9" t="str">
        <x:v>5996</x:v>
      </x:c>
      <x:c r="E169" s="9" t="str">
        <x:v>CURSOR.COM</x:v>
      </x:c>
      <x:c r="F169" s="9" t="str">
        <x:v>401134022237</x:v>
      </x:c>
      <x:c r="G169" s="9" t="str">
        <x:v>POS</x:v>
      </x:c>
      <x:c r="H169" s="9" t="str">
        <x:v>---</x:v>
      </x:c>
      <x:c r="I169" s="9" t="str">
        <x:v>Not imported</x:v>
      </x:c>
      <x:c r="J169" s="9" t="str">
        <x:v>GST purchase included</x:v>
      </x:c>
      <x:c r="K169" s="9" t="str">
        <x:v>Included provisionally; overseas software is claimable only if NZ GST was actually charged.</x:v>
      </x:c>
      <x:c r="L169" s="9" t="str">
        <x:v>zaoeuq</x:v>
      </x:c>
      <x:c r="M169" s="9" t="str">
        <x:v>BNZ only</x:v>
      </x:c>
      <x:c r="N169" s="9" t="str">
        <x:v>See ledger</x:v>
      </x:c>
    </x:row>
    <x:row r="170">
      <x:c r="A170" s="10" t="n">
        <x:v>46114.958333333336</x:v>
      </x:c>
      <x:c r="B170" s="11" t="n">
        <x:v>-22.44</x:v>
      </x:c>
      <x:c r="C170" s="9" t="str">
        <x:v>BIKE GLENDHU LTD</x:v>
      </x:c>
      <x:c r="D170" s="9" t="str">
        <x:v>5996</x:v>
      </x:c>
      <x:c r="E170" s="9" t="str">
        <x:v>WANAKA</x:v>
      </x:c>
      <x:c r="F170" s="9" t="str">
        <x:v>451836031542</x:v>
      </x:c>
      <x:c r="G170" s="9" t="str">
        <x:v>POS</x:v>
      </x:c>
      <x:c r="H170" s="9" t="str">
        <x:v>---</x:v>
      </x:c>
      <x:c r="I170" s="9" t="str">
        <x:v>Not imported</x:v>
      </x:c>
      <x:c r="J170" s="9" t="str">
        <x:v>Excluded</x:v>
      </x:c>
      <x:c r="K170" s="9" t="str">
        <x:v>Personal, transfer, tax, cash withdrawal, food or entertainment; no GST claim.</x:v>
      </x:c>
      <x:c r="L170" s="9" t="str">
        <x:v>8dyve4</x:v>
      </x:c>
      <x:c r="M170" s="9" t="str">
        <x:v>BNZ only</x:v>
      </x:c>
      <x:c r="N170" s="9" t="str">
        <x:v>No</x:v>
      </x:c>
    </x:row>
    <x:row r="171">
      <x:c r="A171" s="10" t="n">
        <x:v>46117</x:v>
      </x:c>
      <x:c r="B171" s="11" t="n">
        <x:v>-100.35</x:v>
      </x:c>
      <x:c r="C171" s="9" t="str">
        <x:v>BP CONNECT WANAKA</x:v>
      </x:c>
      <x:c r="D171" s="9" t="str">
        <x:v>5996</x:v>
      </x:c>
      <x:c r="E171" s="9" t="str">
        <x:v>WANAKA</x:v>
      </x:c>
      <x:c r="F171" s="9" t="str">
        <x:v>492102050839</x:v>
      </x:c>
      <x:c r="G171" s="9" t="str">
        <x:v>POS</x:v>
      </x:c>
      <x:c r="H171" s="9" t="str">
        <x:v>---</x:v>
      </x:c>
      <x:c r="I171" s="9" t="str">
        <x:v>Not imported</x:v>
      </x:c>
      <x:c r="J171" s="9" t="str">
        <x:v>GST purchase included</x:v>
      </x:c>
      <x:c r="K171" s="9" t="str">
        <x:v>Business purchase.</x:v>
      </x:c>
      <x:c r="L171" s="9" t="str">
        <x:v>80tyi5</x:v>
      </x:c>
      <x:c r="M171" s="9" t="str">
        <x:v>BNZ only</x:v>
      </x:c>
      <x:c r="N171" s="9" t="str">
        <x:v>See ledger</x:v>
      </x:c>
    </x:row>
    <x:row r="172">
      <x:c r="A172" s="10" t="n">
        <x:v>46118</x:v>
      </x:c>
      <x:c r="B172" s="11" t="n">
        <x:v>-53.92</x:v>
      </x:c>
      <x:c r="C172" s="9" t="str">
        <x:v>MITRE 10 MEGA WANAKA</x:v>
      </x:c>
      <x:c r="D172" s="9" t="str">
        <x:v>5996</x:v>
      </x:c>
      <x:c r="E172" s="9" t="str">
        <x:v>WANAKA</x:v>
      </x:c>
      <x:c r="F172" s="9" t="str">
        <x:v>434667061324</x:v>
      </x:c>
      <x:c r="G172" s="9" t="str">
        <x:v>POS</x:v>
      </x:c>
      <x:c r="H172" s="9" t="str">
        <x:v>---</x:v>
      </x:c>
      <x:c r="I172" s="9" t="str">
        <x:v>Not imported</x:v>
      </x:c>
      <x:c r="J172" s="9" t="str">
        <x:v>GST purchase included</x:v>
      </x:c>
      <x:c r="K172" s="9" t="str">
        <x:v>Business purchase.</x:v>
      </x:c>
      <x:c r="L172" s="9" t="str">
        <x:v>e4374b</x:v>
      </x:c>
      <x:c r="M172" s="9" t="str">
        <x:v>BNZ only</x:v>
      </x:c>
      <x:c r="N172" s="9" t="str">
        <x:v>See ledger</x:v>
      </x:c>
    </x:row>
    <x:row r="173">
      <x:c r="A173" s="10" t="n">
        <x:v>46118</x:v>
      </x:c>
      <x:c r="B173" s="11" t="n">
        <x:v>-35.18</x:v>
      </x:c>
      <x:c r="C173" s="9" t="str">
        <x:v>MITRE 10 MEGA WANAKA</x:v>
      </x:c>
      <x:c r="D173" s="9" t="str">
        <x:v>5996</x:v>
      </x:c>
      <x:c r="E173" s="9" t="str">
        <x:v>WANAKA</x:v>
      </x:c>
      <x:c r="F173" s="9" t="str">
        <x:v>434667061325</x:v>
      </x:c>
      <x:c r="G173" s="9" t="str">
        <x:v>POS</x:v>
      </x:c>
      <x:c r="H173" s="9" t="str">
        <x:v>---</x:v>
      </x:c>
      <x:c r="I173" s="9" t="str">
        <x:v>Not imported</x:v>
      </x:c>
      <x:c r="J173" s="9" t="str">
        <x:v>GST purchase included</x:v>
      </x:c>
      <x:c r="K173" s="9" t="str">
        <x:v>Business purchase.</x:v>
      </x:c>
      <x:c r="L173" s="9" t="str">
        <x:v>663vey</x:v>
      </x:c>
      <x:c r="M173" s="9" t="str">
        <x:v>BNZ only</x:v>
      </x:c>
      <x:c r="N173" s="9" t="str">
        <x:v>See ledger</x:v>
      </x:c>
    </x:row>
    <x:row r="174">
      <x:c r="A174" s="10" t="n">
        <x:v>46119</x:v>
      </x:c>
      <x:c r="B174" s="11" t="n">
        <x:v>-41.41</x:v>
      </x:c>
      <x:c r="C174" s="9" t="str">
        <x:v>OPENAI *CHATGPT SUBS</x:v>
      </x:c>
      <x:c r="D174" s="9" t="str">
        <x:v>5996</x:v>
      </x:c>
      <x:c r="E174" s="9" t="str">
        <x:v>OPENAI.COM</x:v>
      </x:c>
      <x:c r="F174" s="9" t="str">
        <x:v>449216072006</x:v>
      </x:c>
      <x:c r="G174" s="9" t="str">
        <x:v>POS</x:v>
      </x:c>
      <x:c r="H174" s="9" t="str">
        <x:v>---</x:v>
      </x:c>
      <x:c r="I174" s="9" t="str">
        <x:v>Not imported</x:v>
      </x:c>
      <x:c r="J174" s="9" t="str">
        <x:v>GST purchase included</x:v>
      </x:c>
      <x:c r="K174" s="9" t="str">
        <x:v>Included provisionally; overseas software is claimable only if NZ GST was actually charged.</x:v>
      </x:c>
      <x:c r="L174" s="9" t="str">
        <x:v>j97vwj</x:v>
      </x:c>
      <x:c r="M174" s="9" t="str">
        <x:v>BNZ only</x:v>
      </x:c>
      <x:c r="N174" s="9" t="str">
        <x:v>See ledger</x:v>
      </x:c>
    </x:row>
    <x:row r="175">
      <x:c r="A175" s="10" t="n">
        <x:v>46120</x:v>
      </x:c>
      <x:c r="B175" s="11" t="n">
        <x:v>-100.97</x:v>
      </x:c>
      <x:c r="C175" s="9" t="str">
        <x:v>RS TRADE CENTRE</x:v>
      </x:c>
      <x:c r="D175" s="9" t="str">
        <x:v>5996</x:v>
      </x:c>
      <x:c r="E175" s="9" t="str">
        <x:v>CHRISTCHURCH</x:v>
      </x:c>
      <x:c r="F175" s="9" t="str">
        <x:v>434667081421</x:v>
      </x:c>
      <x:c r="G175" s="9" t="str">
        <x:v>POS</x:v>
      </x:c>
      <x:c r="H175" s="9" t="str">
        <x:v>---</x:v>
      </x:c>
      <x:c r="I175" s="9" t="str">
        <x:v>Not imported</x:v>
      </x:c>
      <x:c r="J175" s="9" t="str">
        <x:v>GST purchase included</x:v>
      </x:c>
      <x:c r="K175" s="9" t="str">
        <x:v>Business purchase.</x:v>
      </x:c>
      <x:c r="L175" s="9" t="str">
        <x:v>h0i3ya</x:v>
      </x:c>
      <x:c r="M175" s="9" t="str">
        <x:v>BNZ only</x:v>
      </x:c>
      <x:c r="N175" s="9" t="str">
        <x:v>See ledger</x:v>
      </x:c>
    </x:row>
    <x:row r="176">
      <x:c r="A176" s="10" t="n">
        <x:v>46120</x:v>
      </x:c>
      <x:c r="B176" s="11" t="n">
        <x:v>-132.49</x:v>
      </x:c>
      <x:c r="C176" s="9" t="str">
        <x:v>Resene - Wanaka 087</x:v>
      </x:c>
      <x:c r="D176" s="9" t="str">
        <x:v>5996</x:v>
      </x:c>
      <x:c r="E176" s="9" t="str">
        <x:v>Wanaka</x:v>
      </x:c>
      <x:c r="F176" s="9" t="str">
        <x:v>420549080951</x:v>
      </x:c>
      <x:c r="G176" s="9" t="str">
        <x:v>POS</x:v>
      </x:c>
      <x:c r="H176" s="9" t="str">
        <x:v>---</x:v>
      </x:c>
      <x:c r="I176" s="9" t="str">
        <x:v>Not imported</x:v>
      </x:c>
      <x:c r="J176" s="9" t="str">
        <x:v>GST purchase included</x:v>
      </x:c>
      <x:c r="K176" s="9" t="str">
        <x:v>Business purchase.</x:v>
      </x:c>
      <x:c r="L176" s="9" t="str">
        <x:v>fz1nqo</x:v>
      </x:c>
      <x:c r="M176" s="9" t="str">
        <x:v>BNZ only</x:v>
      </x:c>
      <x:c r="N176" s="9" t="str">
        <x:v>See ledger</x:v>
      </x:c>
    </x:row>
    <x:row r="177">
      <x:c r="A177" s="10" t="n">
        <x:v>46120</x:v>
      </x:c>
      <x:c r="B177" s="11" t="n">
        <x:v>-39.1</x:v>
      </x:c>
      <x:c r="C177" s="9" t="str">
        <x:v>Resene - Wanaka 087</x:v>
      </x:c>
      <x:c r="D177" s="9" t="str">
        <x:v>5996</x:v>
      </x:c>
      <x:c r="E177" s="9" t="str">
        <x:v>Wanaka</x:v>
      </x:c>
      <x:c r="F177" s="9" t="str">
        <x:v>420549081047</x:v>
      </x:c>
      <x:c r="G177" s="9" t="str">
        <x:v>POS</x:v>
      </x:c>
      <x:c r="H177" s="9" t="str">
        <x:v>---</x:v>
      </x:c>
      <x:c r="I177" s="9" t="str">
        <x:v>Not imported</x:v>
      </x:c>
      <x:c r="J177" s="9" t="str">
        <x:v>GST purchase included</x:v>
      </x:c>
      <x:c r="K177" s="9" t="str">
        <x:v>Business purchase.</x:v>
      </x:c>
      <x:c r="L177" s="9" t="str">
        <x:v>ormwt3</x:v>
      </x:c>
      <x:c r="M177" s="9" t="str">
        <x:v>BNZ only</x:v>
      </x:c>
      <x:c r="N177" s="9" t="str">
        <x:v>See ledger</x:v>
      </x:c>
    </x:row>
    <x:row r="178">
      <x:c r="A178" s="10" t="n">
        <x:v>46121</x:v>
      </x:c>
      <x:c r="B178" s="11" t="n">
        <x:v>-42.18</x:v>
      </x:c>
      <x:c r="C178" s="9" t="str">
        <x:v>Resene - Wanaka 087</x:v>
      </x:c>
      <x:c r="D178" s="9" t="str">
        <x:v>5996</x:v>
      </x:c>
      <x:c r="E178" s="9" t="str">
        <x:v>Wanaka</x:v>
      </x:c>
      <x:c r="F178" s="9" t="str">
        <x:v>420549091000</x:v>
      </x:c>
      <x:c r="G178" s="9" t="str">
        <x:v>POS</x:v>
      </x:c>
      <x:c r="H178" s="9" t="str">
        <x:v>---</x:v>
      </x:c>
      <x:c r="I178" s="9" t="str">
        <x:v>Not imported</x:v>
      </x:c>
      <x:c r="J178" s="9" t="str">
        <x:v>GST purchase included</x:v>
      </x:c>
      <x:c r="K178" s="9" t="str">
        <x:v>Business purchase.</x:v>
      </x:c>
      <x:c r="L178" s="9" t="str">
        <x:v>lghf9s</x:v>
      </x:c>
      <x:c r="M178" s="9" t="str">
        <x:v>BNZ only</x:v>
      </x:c>
      <x:c r="N178" s="9" t="str">
        <x:v>See ledger</x:v>
      </x:c>
    </x:row>
    <x:row r="179">
      <x:c r="A179" s="10" t="n">
        <x:v>46121</x:v>
      </x:c>
      <x:c r="B179" s="11" t="n">
        <x:v>-78.69</x:v>
      </x:c>
      <x:c r="C179" s="9" t="str">
        <x:v>MITRE 10 MEGA WANAKA</x:v>
      </x:c>
      <x:c r="D179" s="9" t="str">
        <x:v>5996</x:v>
      </x:c>
      <x:c r="E179" s="9" t="str">
        <x:v>WANAKA</x:v>
      </x:c>
      <x:c r="F179" s="9" t="str">
        <x:v>434667091252</x:v>
      </x:c>
      <x:c r="G179" s="9" t="str">
        <x:v>POS</x:v>
      </x:c>
      <x:c r="H179" s="9" t="str">
        <x:v>---</x:v>
      </x:c>
      <x:c r="I179" s="9" t="str">
        <x:v>Not imported</x:v>
      </x:c>
      <x:c r="J179" s="9" t="str">
        <x:v>GST purchase included</x:v>
      </x:c>
      <x:c r="K179" s="9" t="str">
        <x:v>Business purchase.</x:v>
      </x:c>
      <x:c r="L179" s="9" t="str">
        <x:v>v4ht0</x:v>
      </x:c>
      <x:c r="M179" s="9" t="str">
        <x:v>BNZ only</x:v>
      </x:c>
      <x:c r="N179" s="9" t="str">
        <x:v>See ledger</x:v>
      </x:c>
    </x:row>
    <x:row r="180">
      <x:c r="A180" s="10" t="n">
        <x:v>46122</x:v>
      </x:c>
      <x:c r="B180" s="11" t="n">
        <x:v>-248.4</x:v>
      </x:c>
      <x:c r="C180" s="9" t="str">
        <x:v>Samuel Day</x:v>
      </x:c>
      <x:c r="D180" s="9" t="str"/>
      <x:c r="E180" s="9" t="str"/>
      <x:c r="F180" s="9" t="str"/>
      <x:c r="G180" s="9" t="str">
        <x:v>DC</x:v>
      </x:c>
      <x:c r="H180" s="9" t="str">
        <x:v>06-0943-0808072-00</x:v>
      </x:c>
      <x:c r="I180" s="9" t="str">
        <x:v>Not imported</x:v>
      </x:c>
      <x:c r="J180" s="9" t="str">
        <x:v>Review / excluded by default</x:v>
      </x:c>
      <x:c r="K180" s="9" t="str">
        <x:v>Not clearly business or GST-bearing from the available records.</x:v>
      </x:c>
      <x:c r="L180" s="9" t="str">
        <x:v>g4ledc</x:v>
      </x:c>
      <x:c r="M180" s="9" t="str">
        <x:v>BNZ only</x:v>
      </x:c>
      <x:c r="N180" s="9" t="str">
        <x:v>No</x:v>
      </x:c>
    </x:row>
    <x:row r="181">
      <x:c r="A181" s="10" t="n">
        <x:v>46122</x:v>
      </x:c>
      <x:c r="B181" s="11" t="n">
        <x:v>563.5</x:v>
      </x:c>
      <x:c r="C181" s="9" t="str">
        <x:v>CASHEN MARK R</x:v>
      </x:c>
      <x:c r="D181" s="9" t="str">
        <x:v>Leigh Cashen</x:v>
      </x:c>
      <x:c r="E181" s="9" t="str">
        <x:v>Wallpaper</x:v>
      </x:c>
      <x:c r="F181" s="9" t="str"/>
      <x:c r="G181" s="9" t="str">
        <x:v>BP</x:v>
      </x:c>
      <x:c r="H181" s="9" t="str">
        <x:v>06-0943-0069011-00</x:v>
      </x:c>
      <x:c r="I181" s="9" t="str">
        <x:v>Not imported</x:v>
      </x:c>
      <x:c r="J181" s="9" t="str">
        <x:v>Taxable customer receipt</x:v>
      </x:c>
      <x:c r="K181" s="9" t="str"/>
      <x:c r="L181" s="9" t="str">
        <x:v>4fmsm1</x:v>
      </x:c>
      <x:c r="M181" s="9" t="str">
        <x:v>BNZ only</x:v>
      </x:c>
      <x:c r="N181" s="9" t="str">
        <x:v>See ledger</x:v>
      </x:c>
    </x:row>
    <x:row r="182">
      <x:c r="A182" s="10" t="n">
        <x:v>46123</x:v>
      </x:c>
      <x:c r="B182" s="11" t="n">
        <x:v>-248.86</x:v>
      </x:c>
      <x:c r="C182" s="9" t="str">
        <x:v>MITRE 10 MEGA WANAKA</x:v>
      </x:c>
      <x:c r="D182" s="9" t="str">
        <x:v>5996</x:v>
      </x:c>
      <x:c r="E182" s="9" t="str">
        <x:v>WANAKA</x:v>
      </x:c>
      <x:c r="F182" s="9" t="str">
        <x:v>434667110959</x:v>
      </x:c>
      <x:c r="G182" s="9" t="str">
        <x:v>POS</x:v>
      </x:c>
      <x:c r="H182" s="9" t="str">
        <x:v>---</x:v>
      </x:c>
      <x:c r="I182" s="9" t="str">
        <x:v>Not imported</x:v>
      </x:c>
      <x:c r="J182" s="9" t="str">
        <x:v>GST purchase included</x:v>
      </x:c>
      <x:c r="K182" s="9" t="str">
        <x:v>Business purchase.</x:v>
      </x:c>
      <x:c r="L182" s="9" t="str">
        <x:v>kvqp7t</x:v>
      </x:c>
      <x:c r="M182" s="9" t="str">
        <x:v>BNZ only</x:v>
      </x:c>
      <x:c r="N182" s="9" t="str">
        <x:v>See ledger</x:v>
      </x:c>
    </x:row>
    <x:row r="183">
      <x:c r="A183" s="10" t="n">
        <x:v>46123</x:v>
      </x:c>
      <x:c r="B183" s="11" t="n">
        <x:v>-15.3</x:v>
      </x:c>
      <x:c r="C183" s="9" t="str">
        <x:v>NOW BAO</x:v>
      </x:c>
      <x:c r="D183" s="9" t="str">
        <x:v>5996</x:v>
      </x:c>
      <x:c r="E183" s="9" t="str">
        <x:v>WANAKA</x:v>
      </x:c>
      <x:c r="F183" s="9" t="str">
        <x:v>451836111557</x:v>
      </x:c>
      <x:c r="G183" s="9" t="str">
        <x:v>POS</x:v>
      </x:c>
      <x:c r="H183" s="9" t="str">
        <x:v>---</x:v>
      </x:c>
      <x:c r="I183" s="9" t="str">
        <x:v>Not imported</x:v>
      </x:c>
      <x:c r="J183" s="9" t="str">
        <x:v>Excluded</x:v>
      </x:c>
      <x:c r="K183" s="9" t="str">
        <x:v>Personal, transfer, tax, cash withdrawal, food or entertainment; no GST claim.</x:v>
      </x:c>
      <x:c r="L183" s="9" t="str">
        <x:v>jj95zf</x:v>
      </x:c>
      <x:c r="M183" s="9" t="str">
        <x:v>BNZ only</x:v>
      </x:c>
      <x:c r="N183" s="9" t="str">
        <x:v>No</x:v>
      </x:c>
    </x:row>
    <x:row r="184">
      <x:c r="A184" s="10" t="n">
        <x:v>46123</x:v>
      </x:c>
      <x:c r="B184" s="11" t="n">
        <x:v>-25.49</x:v>
      </x:c>
      <x:c r="C184" s="9" t="str">
        <x:v>SPOTIFY</x:v>
      </x:c>
      <x:c r="D184" s="9" t="str">
        <x:v>5996</x:v>
      </x:c>
      <x:c r="E184" s="9" t="str">
        <x:v>STOCKHOLM</x:v>
      </x:c>
      <x:c r="F184" s="9" t="str">
        <x:v>414361111505</x:v>
      </x:c>
      <x:c r="G184" s="9" t="str">
        <x:v>POS</x:v>
      </x:c>
      <x:c r="H184" s="9" t="str">
        <x:v>---</x:v>
      </x:c>
      <x:c r="I184" s="9" t="str">
        <x:v>Not imported</x:v>
      </x:c>
      <x:c r="J184" s="9" t="str">
        <x:v>Excluded</x:v>
      </x:c>
      <x:c r="K184" s="9" t="str">
        <x:v>Personal, transfer, tax, cash withdrawal, food or entertainment; no GST claim.</x:v>
      </x:c>
      <x:c r="L184" s="9" t="str">
        <x:v>mscnb</x:v>
      </x:c>
      <x:c r="M184" s="9" t="str">
        <x:v>BNZ only</x:v>
      </x:c>
      <x:c r="N184" s="9" t="str">
        <x:v>No</x:v>
      </x:c>
    </x:row>
    <x:row r="185">
      <x:c r="A185" s="10" t="n">
        <x:v>46124</x:v>
      </x:c>
      <x:c r="B185" s="11" t="n">
        <x:v>-40.33</x:v>
      </x:c>
      <x:c r="C185" s="9" t="str">
        <x:v>OPENAI</x:v>
      </x:c>
      <x:c r="D185" s="9" t="str">
        <x:v>5996</x:v>
      </x:c>
      <x:c r="E185" s="9" t="str">
        <x:v>OPENAI.COM</x:v>
      </x:c>
      <x:c r="F185" s="9" t="str">
        <x:v>449216121549</x:v>
      </x:c>
      <x:c r="G185" s="9" t="str">
        <x:v>POS</x:v>
      </x:c>
      <x:c r="H185" s="9" t="str">
        <x:v>---</x:v>
      </x:c>
      <x:c r="I185" s="9" t="str">
        <x:v>Not imported</x:v>
      </x:c>
      <x:c r="J185" s="9" t="str">
        <x:v>GST purchase included</x:v>
      </x:c>
      <x:c r="K185" s="9" t="str">
        <x:v>Included provisionally; overseas software is claimable only if NZ GST was actually charged.</x:v>
      </x:c>
      <x:c r="L185" s="9" t="str">
        <x:v>650bki</x:v>
      </x:c>
      <x:c r="M185" s="9" t="str">
        <x:v>BNZ only</x:v>
      </x:c>
      <x:c r="N185" s="9" t="str">
        <x:v>See ledger</x:v>
      </x:c>
    </x:row>
    <x:row r="186">
      <x:c r="A186" s="10" t="n">
        <x:v>46125</x:v>
      </x:c>
      <x:c r="B186" s="11" t="n">
        <x:v>-100.79</x:v>
      </x:c>
      <x:c r="C186" s="9" t="str">
        <x:v>BP CONNECT WANAKA</x:v>
      </x:c>
      <x:c r="D186" s="9" t="str">
        <x:v>5996</x:v>
      </x:c>
      <x:c r="E186" s="9" t="str">
        <x:v>WANAKA</x:v>
      </x:c>
      <x:c r="F186" s="9" t="str">
        <x:v>492102131357</x:v>
      </x:c>
      <x:c r="G186" s="9" t="str">
        <x:v>POS</x:v>
      </x:c>
      <x:c r="H186" s="9" t="str">
        <x:v>---</x:v>
      </x:c>
      <x:c r="I186" s="9" t="str">
        <x:v>Not imported</x:v>
      </x:c>
      <x:c r="J186" s="9" t="str">
        <x:v>GST purchase included</x:v>
      </x:c>
      <x:c r="K186" s="9" t="str">
        <x:v>Business purchase.</x:v>
      </x:c>
      <x:c r="L186" s="9" t="str">
        <x:v>z51w5r</x:v>
      </x:c>
      <x:c r="M186" s="9" t="str">
        <x:v>BNZ only</x:v>
      </x:c>
      <x:c r="N186" s="9" t="str">
        <x:v>See ledger</x:v>
      </x:c>
    </x:row>
    <x:row r="187">
      <x:c r="A187" s="10" t="n">
        <x:v>46125</x:v>
      </x:c>
      <x:c r="B187" s="11" t="n">
        <x:v>-10</x:v>
      </x:c>
      <x:c r="C187" s="9" t="str">
        <x:v>Wanaka Nlake</x:v>
      </x:c>
      <x:c r="D187" s="9" t="str">
        <x:v>5996</x:v>
      </x:c>
      <x:c r="E187" s="9" t="str">
        <x:v>Wanaka</x:v>
      </x:c>
      <x:c r="F187" s="9" t="str">
        <x:v>420549131012</x:v>
      </x:c>
      <x:c r="G187" s="9" t="str">
        <x:v>POS</x:v>
      </x:c>
      <x:c r="H187" s="9" t="str">
        <x:v>---</x:v>
      </x:c>
      <x:c r="I187" s="9" t="str">
        <x:v>Not imported</x:v>
      </x:c>
      <x:c r="J187" s="9" t="str">
        <x:v>Review / excluded by default</x:v>
      </x:c>
      <x:c r="K187" s="9" t="str">
        <x:v>Not clearly business or GST-bearing from the available records.</x:v>
      </x:c>
      <x:c r="L187" s="9" t="str">
        <x:v>nizvxk</x:v>
      </x:c>
      <x:c r="M187" s="9" t="str">
        <x:v>BNZ only</x:v>
      </x:c>
      <x:c r="N187" s="9" t="str">
        <x:v>No</x:v>
      </x:c>
    </x:row>
    <x:row r="188">
      <x:c r="A188" s="10" t="n">
        <x:v>46127</x:v>
      </x:c>
      <x:c r="B188" s="11" t="n">
        <x:v>-188.67</x:v>
      </x:c>
      <x:c r="C188" s="9" t="str">
        <x:v>ONE NZ</x:v>
      </x:c>
      <x:c r="D188" s="9" t="str">
        <x:v>5996</x:v>
      </x:c>
      <x:c r="E188" s="9" t="str">
        <x:v>AUCKLAND</x:v>
      </x:c>
      <x:c r="F188" s="9" t="str">
        <x:v>432129151028</x:v>
      </x:c>
      <x:c r="G188" s="9" t="str">
        <x:v>POS</x:v>
      </x:c>
      <x:c r="H188" s="9" t="str">
        <x:v>---</x:v>
      </x:c>
      <x:c r="I188" s="9" t="str">
        <x:v>Not imported</x:v>
      </x:c>
      <x:c r="J188" s="9" t="str">
        <x:v>GST purchase included</x:v>
      </x:c>
      <x:c r="K188" s="9" t="str">
        <x:v>Business purchase.</x:v>
      </x:c>
      <x:c r="L188" s="9" t="str">
        <x:v>s6pf09</x:v>
      </x:c>
      <x:c r="M188" s="9" t="str">
        <x:v>BNZ only</x:v>
      </x:c>
      <x:c r="N188" s="9" t="str">
        <x:v>See ledger</x:v>
      </x:c>
    </x:row>
    <x:row r="189">
      <x:c r="A189" s="10" t="n">
        <x:v>46127</x:v>
      </x:c>
      <x:c r="B189" s="11" t="n">
        <x:v>2121.75</x:v>
      </x:c>
      <x:c r="C189" s="9" t="str">
        <x:v>Home &amp; Co</x:v>
      </x:c>
      <x:c r="D189" s="9" t="str"/>
      <x:c r="E189" s="9" t="str"/>
      <x:c r="F189" s="9" t="str">
        <x:v>Lakesidepain</x:v>
      </x:c>
      <x:c r="G189" s="9" t="str">
        <x:v>DC</x:v>
      </x:c>
      <x:c r="H189" s="9" t="str">
        <x:v>02-0673-0130563-01</x:v>
      </x:c>
      <x:c r="I189" s="9" t="str">
        <x:v>Not imported</x:v>
      </x:c>
      <x:c r="J189" s="9" t="str">
        <x:v>Taxable customer receipt</x:v>
      </x:c>
      <x:c r="K189" s="9" t="str"/>
      <x:c r="L189" s="9" t="str">
        <x:v>88gn4e</x:v>
      </x:c>
      <x:c r="M189" s="9" t="str">
        <x:v>BNZ only</x:v>
      </x:c>
      <x:c r="N189" s="9" t="str">
        <x:v>See ledger</x:v>
      </x:c>
    </x:row>
    <x:row r="190">
      <x:c r="A190" s="10" t="n">
        <x:v>46128</x:v>
      </x:c>
      <x:c r="B190" s="11" t="n">
        <x:v>-1000</x:v>
      </x:c>
      <x:c r="C190" s="9" t="str">
        <x:v>Savings</x:v>
      </x:c>
      <x:c r="D190" s="9" t="str"/>
      <x:c r="E190" s="9" t="str"/>
      <x:c r="F190" s="9" t="str">
        <x:v>INTERNET XFR</x:v>
      </x:c>
      <x:c r="G190" s="9" t="str">
        <x:v>FT</x:v>
      </x:c>
      <x:c r="H190" s="9" t="str">
        <x:v>02-0568-0080488-10</x:v>
      </x:c>
      <x:c r="I190" s="9" t="str">
        <x:v>Not imported</x:v>
      </x:c>
      <x:c r="J190" s="9" t="str">
        <x:v>Excluded</x:v>
      </x:c>
      <x:c r="K190" s="9" t="str">
        <x:v>Personal, transfer, tax, cash withdrawal, food or entertainment; no GST claim.</x:v>
      </x:c>
      <x:c r="L190" s="9" t="str">
        <x:v>ob03kc</x:v>
      </x:c>
      <x:c r="M190" s="9" t="str">
        <x:v>BNZ only</x:v>
      </x:c>
      <x:c r="N190" s="9" t="str">
        <x:v>No</x:v>
      </x:c>
    </x:row>
    <x:row r="191">
      <x:c r="A191" s="10" t="n">
        <x:v>46128</x:v>
      </x:c>
      <x:c r="B191" s="11" t="n">
        <x:v>-21.99</x:v>
      </x:c>
      <x:c r="C191" s="9" t="str">
        <x:v>MITRE 10 MEGA WANAKA</x:v>
      </x:c>
      <x:c r="D191" s="9" t="str">
        <x:v>5996</x:v>
      </x:c>
      <x:c r="E191" s="9" t="str">
        <x:v>WANAKA</x:v>
      </x:c>
      <x:c r="F191" s="9" t="str">
        <x:v>434667161256</x:v>
      </x:c>
      <x:c r="G191" s="9" t="str">
        <x:v>POS</x:v>
      </x:c>
      <x:c r="H191" s="9" t="str">
        <x:v>---</x:v>
      </x:c>
      <x:c r="I191" s="9" t="str">
        <x:v>Not imported</x:v>
      </x:c>
      <x:c r="J191" s="9" t="str">
        <x:v>GST purchase included</x:v>
      </x:c>
      <x:c r="K191" s="9" t="str">
        <x:v>Business purchase.</x:v>
      </x:c>
      <x:c r="L191" s="9" t="str">
        <x:v>wyefoz</x:v>
      </x:c>
      <x:c r="M191" s="9" t="str">
        <x:v>BNZ only</x:v>
      </x:c>
      <x:c r="N191" s="9" t="str">
        <x:v>See ledger</x:v>
      </x:c>
    </x:row>
    <x:row r="192">
      <x:c r="A192" s="10" t="n">
        <x:v>46128</x:v>
      </x:c>
      <x:c r="B192" s="11" t="n">
        <x:v>-3</x:v>
      </x:c>
      <x:c r="C192" s="9" t="str">
        <x:v>AMY BIXBY JEWELLERY</x:v>
      </x:c>
      <x:c r="D192" s="9" t="str">
        <x:v>5996</x:v>
      </x:c>
      <x:c r="E192" s="9" t="str">
        <x:v>WANAKA</x:v>
      </x:c>
      <x:c r="F192" s="9" t="str">
        <x:v>492102161434</x:v>
      </x:c>
      <x:c r="G192" s="9" t="str">
        <x:v>POS</x:v>
      </x:c>
      <x:c r="H192" s="9" t="str">
        <x:v>---</x:v>
      </x:c>
      <x:c r="I192" s="9" t="str">
        <x:v>Not imported</x:v>
      </x:c>
      <x:c r="J192" s="9" t="str">
        <x:v>Excluded</x:v>
      </x:c>
      <x:c r="K192" s="9" t="str">
        <x:v>Personal, transfer, tax, cash withdrawal, food or entertainment; no GST claim.</x:v>
      </x:c>
      <x:c r="L192" s="9" t="str">
        <x:v>a0tq30</x:v>
      </x:c>
      <x:c r="M192" s="9" t="str">
        <x:v>BNZ only</x:v>
      </x:c>
      <x:c r="N192" s="9" t="str">
        <x:v>No</x:v>
      </x:c>
    </x:row>
    <x:row r="193">
      <x:c r="A193" s="10" t="n">
        <x:v>46129</x:v>
      </x:c>
      <x:c r="B193" s="11" t="n">
        <x:v>-5000</x:v>
      </x:c>
      <x:c r="C193" s="9" t="str">
        <x:v>Bradley James Hamilt</x:v>
      </x:c>
      <x:c r="D193" s="9" t="str"/>
      <x:c r="E193" s="9" t="str"/>
      <x:c r="F193" s="9" t="str"/>
      <x:c r="G193" s="9" t="str">
        <x:v>BP</x:v>
      </x:c>
      <x:c r="H193" s="9" t="str">
        <x:v>04-2021-0292160-55</x:v>
      </x:c>
      <x:c r="I193" s="9" t="str">
        <x:v>Not imported</x:v>
      </x:c>
      <x:c r="J193" s="9" t="str">
        <x:v>Excluded</x:v>
      </x:c>
      <x:c r="K193" s="9" t="str">
        <x:v>Personal, transfer, tax, cash withdrawal, food or entertainment; no GST claim.</x:v>
      </x:c>
      <x:c r="L193" s="9" t="str">
        <x:v>71xc1j</x:v>
      </x:c>
      <x:c r="M193" s="9" t="str">
        <x:v>BNZ only</x:v>
      </x:c>
      <x:c r="N193" s="9" t="str">
        <x:v>No</x:v>
      </x:c>
    </x:row>
    <x:row r="194">
      <x:c r="A194" s="10" t="n">
        <x:v>46130</x:v>
      </x:c>
      <x:c r="B194" s="11" t="n">
        <x:v>1035</x:v>
      </x:c>
      <x:c r="C194" s="9" t="str">
        <x:v>VANDERMOLEN A</x:v>
      </x:c>
      <x:c r="D194" s="9" t="str">
        <x:v>Q-032</x:v>
      </x:c>
      <x:c r="E194" s="9" t="str"/>
      <x:c r="F194" s="9" t="str">
        <x:v>32 Malvern R</x:v>
      </x:c>
      <x:c r="G194" s="9" t="str">
        <x:v>BP</x:v>
      </x:c>
      <x:c r="H194" s="9" t="str">
        <x:v>06-0501-0666185-05</x:v>
      </x:c>
      <x:c r="I194" s="9" t="str">
        <x:v>matched</x:v>
      </x:c>
      <x:c r="J194" s="9" t="str">
        <x:v>Use matched TradePilot coding</x:v>
      </x:c>
      <x:c r="K194" s="9" t="str"/>
      <x:c r="L194" s="9" t="str">
        <x:v>3eonlk</x:v>
      </x:c>
      <x:c r="M194" s="9" t="str">
        <x:v>BNZ imported to TradePilot</x:v>
      </x:c>
      <x:c r="N194" s="9" t="str">
        <x:v>See ledger</x:v>
      </x:c>
    </x:row>
    <x:row r="195">
      <x:c r="A195" s="10" t="n">
        <x:v>46131</x:v>
      </x:c>
      <x:c r="B195" s="11" t="n">
        <x:v>-202.31</x:v>
      </x:c>
      <x:c r="C195" s="9" t="str">
        <x:v>Dulux</x:v>
      </x:c>
      <x:c r="D195" s="9" t="str"/>
      <x:c r="E195" s="9" t="str"/>
      <x:c r="F195" s="9" t="str"/>
      <x:c r="G195" s="9" t="str">
        <x:v>BP</x:v>
      </x:c>
      <x:c r="H195" s="9" t="str">
        <x:v>03-0502-0287662-00</x:v>
      </x:c>
      <x:c r="I195" s="9" t="str">
        <x:v>ignored</x:v>
      </x:c>
      <x:c r="J195" s="9" t="str">
        <x:v>Excluded: ignored</x:v>
      </x:c>
      <x:c r="K195" s="9" t="str"/>
      <x:c r="L195" s="9" t="str">
        <x:v>kc0l64</x:v>
      </x:c>
      <x:c r="M195" s="9" t="str">
        <x:v>BNZ imported to TradePilot</x:v>
      </x:c>
      <x:c r="N195" s="9" t="str">
        <x:v>No</x:v>
      </x:c>
    </x:row>
    <x:row r="196">
      <x:c r="A196" s="10" t="n">
        <x:v>46131</x:v>
      </x:c>
      <x:c r="B196" s="11" t="n">
        <x:v>-219.34</x:v>
      </x:c>
      <x:c r="C196" s="9" t="str">
        <x:v>WWW.TRADEMAX.CO.NZ</x:v>
      </x:c>
      <x:c r="D196" s="9" t="str">
        <x:v>5996</x:v>
      </x:c>
      <x:c r="E196" s="9" t="str">
        <x:v>DUNEDIN</x:v>
      </x:c>
      <x:c r="F196" s="9" t="str">
        <x:v>448131191014</x:v>
      </x:c>
      <x:c r="G196" s="9" t="str">
        <x:v>POS</x:v>
      </x:c>
      <x:c r="H196" s="9" t="str">
        <x:v>---</x:v>
      </x:c>
      <x:c r="I196" s="9" t="str">
        <x:v>ignored</x:v>
      </x:c>
      <x:c r="J196" s="9" t="str">
        <x:v>Excluded: ignored</x:v>
      </x:c>
      <x:c r="K196" s="9" t="str"/>
      <x:c r="L196" s="9" t="str">
        <x:v>bnccd6</x:v>
      </x:c>
      <x:c r="M196" s="9" t="str">
        <x:v>BNZ imported to TradePilot</x:v>
      </x:c>
      <x:c r="N196" s="9" t="str">
        <x:v>No</x:v>
      </x:c>
    </x:row>
    <x:row r="197">
      <x:c r="A197" s="10" t="n">
        <x:v>46131</x:v>
      </x:c>
      <x:c r="B197" s="11" t="n">
        <x:v>-1000</x:v>
      </x:c>
      <x:c r="C197" s="9" t="str">
        <x:v>YouMoney</x:v>
      </x:c>
      <x:c r="D197" s="9" t="str"/>
      <x:c r="E197" s="9" t="str"/>
      <x:c r="F197" s="9" t="str">
        <x:v>INTERNET XFR</x:v>
      </x:c>
      <x:c r="G197" s="9" t="str">
        <x:v>FT</x:v>
      </x:c>
      <x:c r="H197" s="9" t="str">
        <x:v>02-0568-0080488-83</x:v>
      </x:c>
      <x:c r="I197" s="9" t="str">
        <x:v>ignored</x:v>
      </x:c>
      <x:c r="J197" s="9" t="str">
        <x:v>Excluded: ignored</x:v>
      </x:c>
      <x:c r="K197" s="9" t="str"/>
      <x:c r="L197" s="9" t="str">
        <x:v>tsv8lb</x:v>
      </x:c>
      <x:c r="M197" s="9" t="str">
        <x:v>BNZ imported to TradePilot</x:v>
      </x:c>
      <x:c r="N197" s="9" t="str">
        <x:v>No</x:v>
      </x:c>
    </x:row>
    <x:row r="198">
      <x:c r="A198" s="10" t="n">
        <x:v>46131</x:v>
      </x:c>
      <x:c r="B198" s="11" t="n">
        <x:v>-101.04</x:v>
      </x:c>
      <x:c r="C198" s="9" t="str">
        <x:v>BP CONNECT WANAKA</x:v>
      </x:c>
      <x:c r="D198" s="9" t="str">
        <x:v>5996</x:v>
      </x:c>
      <x:c r="E198" s="9" t="str">
        <x:v>WANAKA</x:v>
      </x:c>
      <x:c r="F198" s="9" t="str">
        <x:v>492102190925</x:v>
      </x:c>
      <x:c r="G198" s="9" t="str">
        <x:v>POS</x:v>
      </x:c>
      <x:c r="H198" s="9" t="str">
        <x:v>---</x:v>
      </x:c>
      <x:c r="I198" s="9" t="str">
        <x:v>matched</x:v>
      </x:c>
      <x:c r="J198" s="9" t="str">
        <x:v>Use matched TradePilot coding</x:v>
      </x:c>
      <x:c r="K198" s="9" t="str"/>
      <x:c r="L198" s="9" t="str">
        <x:v>hicsvk</x:v>
      </x:c>
      <x:c r="M198" s="9" t="str">
        <x:v>BNZ imported to TradePilot</x:v>
      </x:c>
      <x:c r="N198" s="9" t="str">
        <x:v>See ledger</x:v>
      </x:c>
    </x:row>
    <x:row r="199">
      <x:c r="A199" s="10" t="n">
        <x:v>46131</x:v>
      </x:c>
      <x:c r="B199" s="11" t="n">
        <x:v>-100</x:v>
      </x:c>
      <x:c r="C199" s="9" t="str">
        <x:v>Savings</x:v>
      </x:c>
      <x:c r="D199" s="9" t="str"/>
      <x:c r="E199" s="9" t="str"/>
      <x:c r="F199" s="9" t="str">
        <x:v>INTERNET XFR</x:v>
      </x:c>
      <x:c r="G199" s="9" t="str">
        <x:v>FT</x:v>
      </x:c>
      <x:c r="H199" s="9" t="str">
        <x:v>02-0568-0080488-10</x:v>
      </x:c>
      <x:c r="I199" s="9" t="str">
        <x:v>ignored</x:v>
      </x:c>
      <x:c r="J199" s="9" t="str">
        <x:v>Excluded: ignored</x:v>
      </x:c>
      <x:c r="K199" s="9" t="str"/>
      <x:c r="L199" s="9" t="str">
        <x:v>jzokop</x:v>
      </x:c>
      <x:c r="M199" s="9" t="str">
        <x:v>BNZ imported to TradePilot</x:v>
      </x:c>
      <x:c r="N199" s="9" t="str">
        <x:v>No</x:v>
      </x:c>
    </x:row>
    <x:row r="200">
      <x:c r="A200" s="10" t="n">
        <x:v>46132</x:v>
      </x:c>
      <x:c r="B200" s="11" t="n">
        <x:v>450</x:v>
      </x:c>
      <x:c r="C200" s="9" t="str">
        <x:v>CREONTE TAHUNA</x:v>
      </x:c>
      <x:c r="D200" s="9" t="str">
        <x:v>Creonte</x:v>
      </x:c>
      <x:c r="E200" s="9" t="str">
        <x:v>Tahuna</x:v>
      </x:c>
      <x:c r="F200" s="9" t="str"/>
      <x:c r="G200" s="9" t="str">
        <x:v>BP</x:v>
      </x:c>
      <x:c r="H200" s="9" t="str">
        <x:v>02-0673-0177943-00</x:v>
      </x:c>
      <x:c r="I200" s="9" t="str">
        <x:v>personal</x:v>
      </x:c>
      <x:c r="J200" s="9" t="str">
        <x:v>Excluded: personal</x:v>
      </x:c>
      <x:c r="K200" s="9" t="str"/>
      <x:c r="L200" s="9" t="str">
        <x:v>wfsd9j</x:v>
      </x:c>
      <x:c r="M200" s="9" t="str">
        <x:v>BNZ imported to TradePilot</x:v>
      </x:c>
      <x:c r="N200" s="9" t="str">
        <x:v>No</x:v>
      </x:c>
    </x:row>
    <x:row r="201">
      <x:c r="A201" s="10" t="n">
        <x:v>46133</x:v>
      </x:c>
      <x:c r="B201" s="11" t="n">
        <x:v>-78.09</x:v>
      </x:c>
      <x:c r="C201" s="9" t="str">
        <x:v>Resene - Wanaka 087</x:v>
      </x:c>
      <x:c r="D201" s="9" t="str">
        <x:v>5996</x:v>
      </x:c>
      <x:c r="E201" s="9" t="str">
        <x:v>Wanaka</x:v>
      </x:c>
      <x:c r="F201" s="9" t="str">
        <x:v>420549211322</x:v>
      </x:c>
      <x:c r="G201" s="9" t="str">
        <x:v>POS</x:v>
      </x:c>
      <x:c r="H201" s="9" t="str">
        <x:v>---</x:v>
      </x:c>
      <x:c r="I201" s="9" t="str">
        <x:v>ignored</x:v>
      </x:c>
      <x:c r="J201" s="9" t="str">
        <x:v>Excluded: ignored</x:v>
      </x:c>
      <x:c r="K201" s="9" t="str"/>
      <x:c r="L201" s="9" t="str">
        <x:v>aza7v0</x:v>
      </x:c>
      <x:c r="M201" s="9" t="str">
        <x:v>BNZ imported to TradePilot</x:v>
      </x:c>
      <x:c r="N201" s="9" t="str">
        <x:v>No</x:v>
      </x:c>
    </x:row>
    <x:row r="202">
      <x:c r="A202" s="10" t="n">
        <x:v>46133</x:v>
      </x:c>
      <x:c r="B202" s="11" t="n">
        <x:v>78.09</x:v>
      </x:c>
      <x:c r="C202" s="9" t="str">
        <x:v>Resene - Wanaka 087</x:v>
      </x:c>
      <x:c r="D202" s="9" t="str">
        <x:v>5996</x:v>
      </x:c>
      <x:c r="E202" s="9" t="str">
        <x:v>Wanaka</x:v>
      </x:c>
      <x:c r="F202" s="9" t="str">
        <x:v>420549211321</x:v>
      </x:c>
      <x:c r="G202" s="9" t="str">
        <x:v>POS</x:v>
      </x:c>
      <x:c r="H202" s="9" t="str">
        <x:v>---</x:v>
      </x:c>
      <x:c r="I202" s="9" t="str">
        <x:v>matched</x:v>
      </x:c>
      <x:c r="J202" s="9" t="str">
        <x:v>Use matched TradePilot coding</x:v>
      </x:c>
      <x:c r="K202" s="9" t="str"/>
      <x:c r="L202" s="9" t="str">
        <x:v>d5m42u</x:v>
      </x:c>
      <x:c r="M202" s="9" t="str">
        <x:v>BNZ imported to TradePilot</x:v>
      </x:c>
      <x:c r="N202" s="9" t="str">
        <x:v>See ledger</x:v>
      </x:c>
    </x:row>
    <x:row r="203">
      <x:c r="A203" s="10" t="n">
        <x:v>46133</x:v>
      </x:c>
      <x:c r="B203" s="11" t="n">
        <x:v>-4.99</x:v>
      </x:c>
      <x:c r="C203" s="9" t="str">
        <x:v>SUPPORT LOCAL</x:v>
      </x:c>
      <x:c r="D203" s="9" t="str">
        <x:v>5996</x:v>
      </x:c>
      <x:c r="E203" s="9" t="str">
        <x:v>AUCKLAND</x:v>
      </x:c>
      <x:c r="F203" s="9" t="str">
        <x:v>448131211407</x:v>
      </x:c>
      <x:c r="G203" s="9" t="str">
        <x:v>POS</x:v>
      </x:c>
      <x:c r="H203" s="9" t="str">
        <x:v>---</x:v>
      </x:c>
      <x:c r="I203" s="9" t="str">
        <x:v>personal</x:v>
      </x:c>
      <x:c r="J203" s="9" t="str">
        <x:v>Excluded: personal</x:v>
      </x:c>
      <x:c r="K203" s="9" t="str"/>
      <x:c r="L203" s="9" t="str">
        <x:v>cbp6hi</x:v>
      </x:c>
      <x:c r="M203" s="9" t="str">
        <x:v>BNZ imported to TradePilot</x:v>
      </x:c>
      <x:c r="N203" s="9" t="str">
        <x:v>No</x:v>
      </x:c>
    </x:row>
    <x:row r="204">
      <x:c r="A204" s="10" t="n">
        <x:v>46133</x:v>
      </x:c>
      <x:c r="B204" s="11" t="n">
        <x:v>-180.21</x:v>
      </x:c>
      <x:c r="C204" s="9" t="str">
        <x:v>Resene - Wanaka 087</x:v>
      </x:c>
      <x:c r="D204" s="9" t="str">
        <x:v>5996</x:v>
      </x:c>
      <x:c r="E204" s="9" t="str">
        <x:v>Wanaka</x:v>
      </x:c>
      <x:c r="F204" s="9" t="str">
        <x:v>420549211110</x:v>
      </x:c>
      <x:c r="G204" s="9" t="str">
        <x:v>POS</x:v>
      </x:c>
      <x:c r="H204" s="9" t="str">
        <x:v>---</x:v>
      </x:c>
      <x:c r="I204" s="9" t="str">
        <x:v>matched</x:v>
      </x:c>
      <x:c r="J204" s="9" t="str">
        <x:v>Use matched TradePilot coding</x:v>
      </x:c>
      <x:c r="K204" s="9" t="str"/>
      <x:c r="L204" s="9" t="str">
        <x:v>sosb4d</x:v>
      </x:c>
      <x:c r="M204" s="9" t="str">
        <x:v>BNZ imported to TradePilot</x:v>
      </x:c>
      <x:c r="N204" s="9" t="str">
        <x:v>See ledger</x:v>
      </x:c>
    </x:row>
    <x:row r="205">
      <x:c r="A205" s="10" t="n">
        <x:v>46133</x:v>
      </x:c>
      <x:c r="B205" s="11" t="n">
        <x:v>-78.09</x:v>
      </x:c>
      <x:c r="C205" s="9" t="str">
        <x:v>Resene - Wanaka 087</x:v>
      </x:c>
      <x:c r="D205" s="9" t="str">
        <x:v>5996</x:v>
      </x:c>
      <x:c r="E205" s="9" t="str">
        <x:v>Wanaka</x:v>
      </x:c>
      <x:c r="F205" s="9" t="str">
        <x:v>420549211005</x:v>
      </x:c>
      <x:c r="G205" s="9" t="str">
        <x:v>POS</x:v>
      </x:c>
      <x:c r="H205" s="9" t="str">
        <x:v>---</x:v>
      </x:c>
      <x:c r="I205" s="9" t="str">
        <x:v>matched</x:v>
      </x:c>
      <x:c r="J205" s="9" t="str">
        <x:v>Use matched TradePilot coding</x:v>
      </x:c>
      <x:c r="K205" s="9" t="str"/>
      <x:c r="L205" s="9" t="str">
        <x:v>azaafi</x:v>
      </x:c>
      <x:c r="M205" s="9" t="str">
        <x:v>BNZ imported to TradePilot</x:v>
      </x:c>
      <x:c r="N205" s="9" t="str">
        <x:v>See ledger</x:v>
      </x:c>
    </x:row>
    <x:row r="206">
      <x:c r="A206" s="10" t="n">
        <x:v>46133</x:v>
      </x:c>
      <x:c r="B206" s="11" t="n">
        <x:v>-26.46</x:v>
      </x:c>
      <x:c r="C206" s="9" t="str">
        <x:v>MITRE 10 MEGA WANAKA</x:v>
      </x:c>
      <x:c r="D206" s="9" t="str">
        <x:v>5996</x:v>
      </x:c>
      <x:c r="E206" s="9" t="str">
        <x:v>WANAKA</x:v>
      </x:c>
      <x:c r="F206" s="9" t="str">
        <x:v>434667211048</x:v>
      </x:c>
      <x:c r="G206" s="9" t="str">
        <x:v>POS</x:v>
      </x:c>
      <x:c r="H206" s="9" t="str">
        <x:v>---</x:v>
      </x:c>
      <x:c r="I206" s="9" t="str">
        <x:v>matched</x:v>
      </x:c>
      <x:c r="J206" s="9" t="str">
        <x:v>Use matched TradePilot coding</x:v>
      </x:c>
      <x:c r="K206" s="9" t="str"/>
      <x:c r="L206" s="9" t="str">
        <x:v>6ekkdj</x:v>
      </x:c>
      <x:c r="M206" s="9" t="str">
        <x:v>BNZ imported to TradePilot</x:v>
      </x:c>
      <x:c r="N206" s="9" t="str">
        <x:v>See ledger</x:v>
      </x:c>
    </x:row>
    <x:row r="207">
      <x:c r="A207" s="10" t="n">
        <x:v>46133</x:v>
      </x:c>
      <x:c r="B207" s="11" t="n">
        <x:v>-100</x:v>
      </x:c>
      <x:c r="C207" s="9" t="str">
        <x:v>THE WAREHOUSE 212 WA</x:v>
      </x:c>
      <x:c r="D207" s="9" t="str">
        <x:v>5996</x:v>
      </x:c>
      <x:c r="E207" s="9" t="str">
        <x:v>WANAKA</x:v>
      </x:c>
      <x:c r="F207" s="9" t="str">
        <x:v>434667211039</x:v>
      </x:c>
      <x:c r="G207" s="9" t="str">
        <x:v>POS</x:v>
      </x:c>
      <x:c r="H207" s="9" t="str">
        <x:v>---</x:v>
      </x:c>
      <x:c r="I207" s="9" t="str">
        <x:v>matched</x:v>
      </x:c>
      <x:c r="J207" s="9" t="str">
        <x:v>Use matched TradePilot coding</x:v>
      </x:c>
      <x:c r="K207" s="9" t="str"/>
      <x:c r="L207" s="9" t="str">
        <x:v>dt1e20</x:v>
      </x:c>
      <x:c r="M207" s="9" t="str">
        <x:v>BNZ imported to TradePilot</x:v>
      </x:c>
      <x:c r="N207" s="9" t="str">
        <x:v>See ledger</x:v>
      </x:c>
    </x:row>
    <x:row r="208">
      <x:c r="A208" s="10" t="n">
        <x:v>46134</x:v>
      </x:c>
      <x:c r="B208" s="11" t="n">
        <x:v>-10</x:v>
      </x:c>
      <x:c r="C208" s="9" t="str">
        <x:v>Wanaka Nlake</x:v>
      </x:c>
      <x:c r="D208" s="9" t="str">
        <x:v>5996</x:v>
      </x:c>
      <x:c r="E208" s="9" t="str">
        <x:v>Wanaka</x:v>
      </x:c>
      <x:c r="F208" s="9" t="str">
        <x:v>420549221524</x:v>
      </x:c>
      <x:c r="G208" s="9" t="str">
        <x:v>POS</x:v>
      </x:c>
      <x:c r="H208" s="9" t="str">
        <x:v>---</x:v>
      </x:c>
      <x:c r="I208" s="9" t="str">
        <x:v>personal</x:v>
      </x:c>
      <x:c r="J208" s="9" t="str">
        <x:v>Excluded: personal</x:v>
      </x:c>
      <x:c r="K208" s="9" t="str"/>
      <x:c r="L208" s="9" t="str">
        <x:v>5iuocg</x:v>
      </x:c>
      <x:c r="M208" s="9" t="str">
        <x:v>BNZ imported to TradePilot</x:v>
      </x:c>
      <x:c r="N208" s="9" t="str">
        <x:v>No</x:v>
      </x:c>
    </x:row>
    <x:row r="209">
      <x:c r="A209" s="10" t="n">
        <x:v>46135</x:v>
      </x:c>
      <x:c r="B209" s="11" t="n">
        <x:v>-45</x:v>
      </x:c>
      <x:c r="C209" s="9" t="str">
        <x:v>Savings</x:v>
      </x:c>
      <x:c r="D209" s="9" t="str"/>
      <x:c r="E209" s="9" t="str"/>
      <x:c r="F209" s="9" t="str">
        <x:v>INTERNET XFR</x:v>
      </x:c>
      <x:c r="G209" s="9" t="str">
        <x:v>FT</x:v>
      </x:c>
      <x:c r="H209" s="9" t="str">
        <x:v>02-0568-0080488-10</x:v>
      </x:c>
      <x:c r="I209" s="9" t="str">
        <x:v>ignored</x:v>
      </x:c>
      <x:c r="J209" s="9" t="str">
        <x:v>Excluded: ignored</x:v>
      </x:c>
      <x:c r="K209" s="9" t="str"/>
      <x:c r="L209" s="9" t="str">
        <x:v>lbox46</x:v>
      </x:c>
      <x:c r="M209" s="9" t="str">
        <x:v>BNZ imported to TradePilot</x:v>
      </x:c>
      <x:c r="N209" s="9" t="str">
        <x:v>No</x:v>
      </x:c>
    </x:row>
    <x:row r="210">
      <x:c r="A210" s="10" t="n">
        <x:v>46135</x:v>
      </x:c>
      <x:c r="B210" s="11" t="n">
        <x:v>-61.2</x:v>
      </x:c>
      <x:c r="C210" s="9" t="str">
        <x:v>THE WAREHOUSE 212 WA</x:v>
      </x:c>
      <x:c r="D210" s="9" t="str">
        <x:v>5996</x:v>
      </x:c>
      <x:c r="E210" s="9" t="str">
        <x:v>WANAKA</x:v>
      </x:c>
      <x:c r="F210" s="9" t="str">
        <x:v>434667231307</x:v>
      </x:c>
      <x:c r="G210" s="9" t="str">
        <x:v>POS</x:v>
      </x:c>
      <x:c r="H210" s="9" t="str">
        <x:v>---</x:v>
      </x:c>
      <x:c r="I210" s="9" t="str">
        <x:v>matched</x:v>
      </x:c>
      <x:c r="J210" s="9" t="str">
        <x:v>Use matched TradePilot coding</x:v>
      </x:c>
      <x:c r="K210" s="9" t="str"/>
      <x:c r="L210" s="9" t="str">
        <x:v>sp5lu6</x:v>
      </x:c>
      <x:c r="M210" s="9" t="str">
        <x:v>BNZ imported to TradePilot</x:v>
      </x:c>
      <x:c r="N210" s="9" t="str">
        <x:v>See ledger</x:v>
      </x:c>
    </x:row>
    <x:row r="211">
      <x:c r="A211" s="10" t="n">
        <x:v>46137</x:v>
      </x:c>
      <x:c r="B211" s="11" t="n">
        <x:v>-41.25</x:v>
      </x:c>
      <x:c r="C211" s="9" t="str">
        <x:v>CURSOR USAGE MID  AP</x:v>
      </x:c>
      <x:c r="D211" s="9" t="str">
        <x:v>5996</x:v>
      </x:c>
      <x:c r="E211" s="9" t="str">
        <x:v>CURSOR.COM</x:v>
      </x:c>
      <x:c r="F211" s="9" t="str">
        <x:v>401134250130</x:v>
      </x:c>
      <x:c r="G211" s="9" t="str">
        <x:v>POS</x:v>
      </x:c>
      <x:c r="H211" s="9" t="str">
        <x:v>---</x:v>
      </x:c>
      <x:c r="I211" s="9" t="str">
        <x:v>matched</x:v>
      </x:c>
      <x:c r="J211" s="9" t="str">
        <x:v>Use matched TradePilot coding</x:v>
      </x:c>
      <x:c r="K211" s="9" t="str"/>
      <x:c r="L211" s="9" t="str">
        <x:v>3tecam</x:v>
      </x:c>
      <x:c r="M211" s="9" t="str">
        <x:v>BNZ imported to TradePilot</x:v>
      </x:c>
      <x:c r="N211" s="9" t="str">
        <x:v>See ledger</x:v>
      </x:c>
    </x:row>
    <x:row r="212">
      <x:c r="A212" s="10" t="n">
        <x:v>46138</x:v>
      </x:c>
      <x:c r="B212" s="11" t="n">
        <x:v>-153.45</x:v>
      </x:c>
      <x:c r="C212" s="9" t="str">
        <x:v>MITRE 10 MEGA WANAKA</x:v>
      </x:c>
      <x:c r="D212" s="9" t="str">
        <x:v>5996</x:v>
      </x:c>
      <x:c r="E212" s="9" t="str">
        <x:v>WANAKA</x:v>
      </x:c>
      <x:c r="F212" s="9" t="str">
        <x:v>434667260845</x:v>
      </x:c>
      <x:c r="G212" s="9" t="str">
        <x:v>POS</x:v>
      </x:c>
      <x:c r="H212" s="9" t="str">
        <x:v>---</x:v>
      </x:c>
      <x:c r="I212" s="9" t="str">
        <x:v>matched</x:v>
      </x:c>
      <x:c r="J212" s="9" t="str">
        <x:v>Use matched TradePilot coding</x:v>
      </x:c>
      <x:c r="K212" s="9" t="str"/>
      <x:c r="L212" s="9" t="str">
        <x:v>ohhwjf</x:v>
      </x:c>
      <x:c r="M212" s="9" t="str">
        <x:v>BNZ imported to TradePilot</x:v>
      </x:c>
      <x:c r="N212" s="9" t="str">
        <x:v>See ledger</x:v>
      </x:c>
    </x:row>
    <x:row r="213">
      <x:c r="A213" s="10" t="n">
        <x:v>46138</x:v>
      </x:c>
      <x:c r="B213" s="11" t="n">
        <x:v>-500</x:v>
      </x:c>
      <x:c r="C213" s="9" t="str">
        <x:v>YouMoney</x:v>
      </x:c>
      <x:c r="D213" s="9" t="str"/>
      <x:c r="E213" s="9" t="str"/>
      <x:c r="F213" s="9" t="str">
        <x:v>INTERNET XFR</x:v>
      </x:c>
      <x:c r="G213" s="9" t="str">
        <x:v>FT</x:v>
      </x:c>
      <x:c r="H213" s="9" t="str">
        <x:v>02-0568-0080488-83</x:v>
      </x:c>
      <x:c r="I213" s="9" t="str">
        <x:v>ignored</x:v>
      </x:c>
      <x:c r="J213" s="9" t="str">
        <x:v>Excluded: ignored</x:v>
      </x:c>
      <x:c r="K213" s="9" t="str"/>
      <x:c r="L213" s="9" t="str">
        <x:v>rup2y5</x:v>
      </x:c>
      <x:c r="M213" s="9" t="str">
        <x:v>BNZ imported to TradePilot</x:v>
      </x:c>
      <x:c r="N213" s="9" t="str">
        <x:v>No</x:v>
      </x:c>
    </x:row>
    <x:row r="214">
      <x:c r="A214" s="10" t="n">
        <x:v>46138</x:v>
      </x:c>
      <x:c r="B214" s="11" t="n">
        <x:v>-112.06</x:v>
      </x:c>
      <x:c r="C214" s="9" t="str">
        <x:v>BP CONNECT WANAKA</x:v>
      </x:c>
      <x:c r="D214" s="9" t="str">
        <x:v>5996</x:v>
      </x:c>
      <x:c r="E214" s="9" t="str">
        <x:v>WANAKA</x:v>
      </x:c>
      <x:c r="F214" s="9" t="str">
        <x:v>492102260916</x:v>
      </x:c>
      <x:c r="G214" s="9" t="str">
        <x:v>POS</x:v>
      </x:c>
      <x:c r="H214" s="9" t="str">
        <x:v>---</x:v>
      </x:c>
      <x:c r="I214" s="9" t="str">
        <x:v>matched</x:v>
      </x:c>
      <x:c r="J214" s="9" t="str">
        <x:v>Use matched TradePilot coding</x:v>
      </x:c>
      <x:c r="K214" s="9" t="str"/>
      <x:c r="L214" s="9" t="str">
        <x:v>pb4shc</x:v>
      </x:c>
      <x:c r="M214" s="9" t="str">
        <x:v>BNZ imported to TradePilot</x:v>
      </x:c>
      <x:c r="N214" s="9" t="str">
        <x:v>See ledger</x:v>
      </x:c>
    </x:row>
    <x:row r="215">
      <x:c r="A215" s="10" t="n">
        <x:v>46139</x:v>
      </x:c>
      <x:c r="B215" s="11" t="n">
        <x:v>-79.9</x:v>
      </x:c>
      <x:c r="C215" s="9" t="str">
        <x:v>MITRE 10 MEGA WANAKA</x:v>
      </x:c>
      <x:c r="D215" s="9" t="str">
        <x:v>5996</x:v>
      </x:c>
      <x:c r="E215" s="9" t="str">
        <x:v>WANAKA</x:v>
      </x:c>
      <x:c r="F215" s="9" t="str">
        <x:v>434667271139</x:v>
      </x:c>
      <x:c r="G215" s="9" t="str">
        <x:v>POS</x:v>
      </x:c>
      <x:c r="H215" s="9" t="str">
        <x:v>---</x:v>
      </x:c>
      <x:c r="I215" s="9" t="str">
        <x:v>matched</x:v>
      </x:c>
      <x:c r="J215" s="9" t="str">
        <x:v>Use matched TradePilot coding</x:v>
      </x:c>
      <x:c r="K215" s="9" t="str"/>
      <x:c r="L215" s="9" t="str">
        <x:v>bi9f0b</x:v>
      </x:c>
      <x:c r="M215" s="9" t="str">
        <x:v>BNZ imported to TradePilot</x:v>
      </x:c>
      <x:c r="N215" s="9" t="str">
        <x:v>See ledger</x:v>
      </x:c>
    </x:row>
    <x:row r="216">
      <x:c r="A216" s="10" t="n">
        <x:v>46140</x:v>
      </x:c>
      <x:c r="B216" s="11" t="n">
        <x:v>-500</x:v>
      </x:c>
      <x:c r="C216" s="9" t="str">
        <x:v>Savings</x:v>
      </x:c>
      <x:c r="D216" s="9" t="str"/>
      <x:c r="E216" s="9" t="str"/>
      <x:c r="F216" s="9" t="str">
        <x:v>INTERNET XFR</x:v>
      </x:c>
      <x:c r="G216" s="9" t="str">
        <x:v>FT</x:v>
      </x:c>
      <x:c r="H216" s="9" t="str">
        <x:v>02-0568-0080488-10</x:v>
      </x:c>
      <x:c r="I216" s="9" t="str">
        <x:v>ignored</x:v>
      </x:c>
      <x:c r="J216" s="9" t="str">
        <x:v>Excluded: ignored</x:v>
      </x:c>
      <x:c r="K216" s="9" t="str"/>
      <x:c r="L216" s="9" t="str">
        <x:v>p8v8bv</x:v>
      </x:c>
      <x:c r="M216" s="9" t="str">
        <x:v>BNZ imported to TradePilot</x:v>
      </x:c>
      <x:c r="N216" s="9" t="str">
        <x:v>No</x:v>
      </x:c>
    </x:row>
    <x:row r="217">
      <x:c r="A217" s="10" t="n">
        <x:v>46140</x:v>
      </x:c>
      <x:c r="B217" s="11" t="n">
        <x:v>5140.5</x:v>
      </x:c>
      <x:c r="C217" s="9" t="str">
        <x:v>GRAY RICHARD</x:v>
      </x:c>
      <x:c r="D217" s="9" t="str">
        <x:v>Inv Aub Gray</x:v>
      </x:c>
      <x:c r="E217" s="9" t="str"/>
      <x:c r="F217" s="9" t="str">
        <x:v>Inv Aub</x:v>
      </x:c>
      <x:c r="G217" s="9" t="str">
        <x:v>BP</x:v>
      </x:c>
      <x:c r="H217" s="9" t="str">
        <x:v>06-0801-0487496-00</x:v>
      </x:c>
      <x:c r="I217" s="9" t="str">
        <x:v>matched</x:v>
      </x:c>
      <x:c r="J217" s="9" t="str">
        <x:v>Use matched TradePilot coding</x:v>
      </x:c>
      <x:c r="K217" s="9" t="str"/>
      <x:c r="L217" s="9" t="str">
        <x:v>35udu7</x:v>
      </x:c>
      <x:c r="M217" s="9" t="str">
        <x:v>BNZ imported to TradePilot</x:v>
      </x:c>
      <x:c r="N217" s="9" t="str">
        <x:v>See ledger</x:v>
      </x:c>
    </x:row>
    <x:row r="218">
      <x:c r="A218" s="10" t="n">
        <x:v>46141</x:v>
      </x:c>
      <x:c r="B218" s="11" t="n">
        <x:v>-300</x:v>
      </x:c>
      <x:c r="C218" s="9" t="str">
        <x:v>Taxes</x:v>
      </x:c>
      <x:c r="D218" s="9" t="str"/>
      <x:c r="E218" s="9" t="str"/>
      <x:c r="F218" s="9" t="str">
        <x:v>INTERNET XFR</x:v>
      </x:c>
      <x:c r="G218" s="9" t="str">
        <x:v>FT</x:v>
      </x:c>
      <x:c r="H218" s="9" t="str">
        <x:v>02-0568-0080488-09</x:v>
      </x:c>
      <x:c r="I218" s="9" t="str">
        <x:v>ignored</x:v>
      </x:c>
      <x:c r="J218" s="9" t="str">
        <x:v>Excluded: ignored</x:v>
      </x:c>
      <x:c r="K218" s="9" t="str"/>
      <x:c r="L218" s="9" t="str">
        <x:v>2fsyvg</x:v>
      </x:c>
      <x:c r="M218" s="9" t="str">
        <x:v>BNZ imported to TradePilot</x:v>
      </x:c>
      <x:c r="N218" s="9" t="str">
        <x:v>No</x:v>
      </x:c>
    </x:row>
    <x:row r="219">
      <x:c r="A219" s="10" t="n">
        <x:v>46141</x:v>
      </x:c>
      <x:c r="B219" s="11" t="n">
        <x:v>-119</x:v>
      </x:c>
      <x:c r="C219" s="9" t="str">
        <x:v>Savings</x:v>
      </x:c>
      <x:c r="D219" s="9" t="str"/>
      <x:c r="E219" s="9" t="str"/>
      <x:c r="F219" s="9" t="str">
        <x:v>INTERNET XFR</x:v>
      </x:c>
      <x:c r="G219" s="9" t="str">
        <x:v>FT</x:v>
      </x:c>
      <x:c r="H219" s="9" t="str">
        <x:v>02-0568-0080488-10</x:v>
      </x:c>
      <x:c r="I219" s="9" t="str">
        <x:v>ignored</x:v>
      </x:c>
      <x:c r="J219" s="9" t="str">
        <x:v>Excluded: ignored</x:v>
      </x:c>
      <x:c r="K219" s="9" t="str"/>
      <x:c r="L219" s="9" t="str">
        <x:v>atf9f2</x:v>
      </x:c>
      <x:c r="M219" s="9" t="str">
        <x:v>BNZ imported to TradePilot</x:v>
      </x:c>
      <x:c r="N219" s="9" t="str">
        <x:v>No</x:v>
      </x:c>
    </x:row>
    <x:row r="220">
      <x:c r="A220" s="10" t="n">
        <x:v>46141</x:v>
      </x:c>
      <x:c r="B220" s="11" t="n">
        <x:v>1190.25</x:v>
      </x:c>
      <x:c r="C220" s="9" t="str">
        <x:v>NICHOLSON  TD &amp;</x:v>
      </x:c>
      <x:c r="D220" s="9" t="str">
        <x:v>4 perrow st</x:v>
      </x:c>
      <x:c r="E220" s="9" t="str">
        <x:v>Q034</x:v>
      </x:c>
      <x:c r="F220" s="9" t="str">
        <x:v>deposit</x:v>
      </x:c>
      <x:c r="G220" s="9" t="str">
        <x:v>BP</x:v>
      </x:c>
      <x:c r="H220" s="9" t="str">
        <x:v>02-1269-0043681-01</x:v>
      </x:c>
      <x:c r="I220" s="9" t="str">
        <x:v>matched</x:v>
      </x:c>
      <x:c r="J220" s="9" t="str">
        <x:v>Use matched TradePilot coding</x:v>
      </x:c>
      <x:c r="K220" s="9" t="str"/>
      <x:c r="L220" s="9" t="str">
        <x:v>pgyhqd</x:v>
      </x:c>
      <x:c r="M220" s="9" t="str">
        <x:v>BNZ imported to TradePilot</x:v>
      </x:c>
      <x:c r="N220" s="9" t="str">
        <x:v>See ledger</x:v>
      </x:c>
    </x:row>
    <x:row r="221">
      <x:c r="A221" s="10" t="n">
        <x:v>46141</x:v>
      </x:c>
      <x:c r="B221" s="11" t="n">
        <x:v>-1650</x:v>
      </x:c>
      <x:c r="C221" s="9" t="str">
        <x:v>Taxes</x:v>
      </x:c>
      <x:c r="D221" s="9" t="str"/>
      <x:c r="E221" s="9" t="str"/>
      <x:c r="F221" s="9" t="str">
        <x:v>INTERNET XFR</x:v>
      </x:c>
      <x:c r="G221" s="9" t="str">
        <x:v>FT</x:v>
      </x:c>
      <x:c r="H221" s="9" t="str">
        <x:v>02-0568-0080488-09</x:v>
      </x:c>
      <x:c r="I221" s="9" t="str">
        <x:v>ignored</x:v>
      </x:c>
      <x:c r="J221" s="9" t="str">
        <x:v>Excluded: ignored</x:v>
      </x:c>
      <x:c r="K221" s="9" t="str"/>
      <x:c r="L221" s="9" t="str">
        <x:v>ybivf7</x:v>
      </x:c>
      <x:c r="M221" s="9" t="str">
        <x:v>BNZ imported to TradePilot</x:v>
      </x:c>
      <x:c r="N221" s="9" t="str">
        <x:v>No</x:v>
      </x:c>
    </x:row>
    <x:row r="222">
      <x:c r="A222" s="10" t="n">
        <x:v>46142</x:v>
      </x:c>
      <x:c r="B222" s="11" t="n">
        <x:v>-5.9</x:v>
      </x:c>
      <x:c r="C222" s="9" t="str">
        <x:v>BP CONNECT WANAKA</x:v>
      </x:c>
      <x:c r="D222" s="9" t="str">
        <x:v>5996</x:v>
      </x:c>
      <x:c r="E222" s="9" t="str">
        <x:v>WANAKA</x:v>
      </x:c>
      <x:c r="F222" s="9" t="str">
        <x:v>492102301300</x:v>
      </x:c>
      <x:c r="G222" s="9" t="str">
        <x:v>POS</x:v>
      </x:c>
      <x:c r="H222" s="9" t="str">
        <x:v>---</x:v>
      </x:c>
      <x:c r="I222" s="9" t="str">
        <x:v>matched</x:v>
      </x:c>
      <x:c r="J222" s="9" t="str">
        <x:v>Use matched TradePilot coding</x:v>
      </x:c>
      <x:c r="K222" s="9" t="str"/>
      <x:c r="L222" s="9" t="str">
        <x:v>n72jpa</x:v>
      </x:c>
      <x:c r="M222" s="9" t="str">
        <x:v>BNZ imported to TradePilot</x:v>
      </x:c>
      <x:c r="N222" s="9" t="str">
        <x:v>See ledger</x:v>
      </x:c>
    </x:row>
    <x:row r="223">
      <x:c r="A223" s="10" t="n">
        <x:v>46142</x:v>
      </x:c>
      <x:c r="B223" s="11" t="n">
        <x:v>-171.74</x:v>
      </x:c>
      <x:c r="C223" s="9" t="str">
        <x:v>CLAUDE.AI SUBSCRIPTI</x:v>
      </x:c>
      <x:c r="D223" s="9" t="str">
        <x:v>5996</x:v>
      </x:c>
      <x:c r="E223" s="9" t="str">
        <x:v>ANTHROPIC.CO</x:v>
      </x:c>
      <x:c r="F223" s="9" t="str">
        <x:v>401134302122</x:v>
      </x:c>
      <x:c r="G223" s="9" t="str">
        <x:v>POS</x:v>
      </x:c>
      <x:c r="H223" s="9" t="str">
        <x:v>---</x:v>
      </x:c>
      <x:c r="I223" s="9" t="str">
        <x:v>matched</x:v>
      </x:c>
      <x:c r="J223" s="9" t="str">
        <x:v>Use matched TradePilot coding</x:v>
      </x:c>
      <x:c r="K223" s="9" t="str"/>
      <x:c r="L223" s="9" t="str">
        <x:v>jyo2m7</x:v>
      </x:c>
      <x:c r="M223" s="9" t="str">
        <x:v>BNZ imported to TradePilot</x:v>
      </x:c>
      <x:c r="N223" s="9" t="str">
        <x:v>See ledger</x:v>
      </x:c>
    </x:row>
    <x:row r="224">
      <x:c r="A224" s="10" t="n">
        <x:v>46142</x:v>
      </x:c>
      <x:c r="B224" s="11" t="n">
        <x:v>-58</x:v>
      </x:c>
      <x:c r="C224" s="9" t="str">
        <x:v>ALI BARBERS</x:v>
      </x:c>
      <x:c r="D224" s="9" t="str">
        <x:v>5996</x:v>
      </x:c>
      <x:c r="E224" s="9" t="str">
        <x:v>WWW.ALIBARBE</x:v>
      </x:c>
      <x:c r="F224" s="9" t="str">
        <x:v>448131291123</x:v>
      </x:c>
      <x:c r="G224" s="9" t="str">
        <x:v>POS</x:v>
      </x:c>
      <x:c r="H224" s="9" t="str">
        <x:v>---</x:v>
      </x:c>
      <x:c r="I224" s="9" t="str">
        <x:v>personal</x:v>
      </x:c>
      <x:c r="J224" s="9" t="str">
        <x:v>Excluded: personal</x:v>
      </x:c>
      <x:c r="K224" s="9" t="str"/>
      <x:c r="L224" s="9" t="str">
        <x:v>ptz00t</x:v>
      </x:c>
      <x:c r="M224" s="9" t="str">
        <x:v>BNZ imported to TradePilot</x:v>
      </x:c>
      <x:c r="N224" s="9" t="str">
        <x:v>No</x:v>
      </x:c>
    </x:row>
    <x:row r="225">
      <x:c r="A225" s="10" t="n">
        <x:v>46143</x:v>
      </x:c>
      <x:c r="B225" s="11" t="n">
        <x:v>8136.25</x:v>
      </x:c>
      <x:c r="C225" s="9" t="str">
        <x:v>Home &amp; Co</x:v>
      </x:c>
      <x:c r="D225" s="9" t="str"/>
      <x:c r="E225" s="9" t="str"/>
      <x:c r="F225" s="9" t="str">
        <x:v>Lakesidepain</x:v>
      </x:c>
      <x:c r="G225" s="9" t="str">
        <x:v>DC</x:v>
      </x:c>
      <x:c r="H225" s="9" t="str">
        <x:v>02-0673-0130563-01</x:v>
      </x:c>
      <x:c r="I225" s="9" t="str">
        <x:v>matched</x:v>
      </x:c>
      <x:c r="J225" s="9" t="str">
        <x:v>Use matched TradePilot coding</x:v>
      </x:c>
      <x:c r="K225" s="9" t="str"/>
      <x:c r="L225" s="9" t="str">
        <x:v>63g5m7</x:v>
      </x:c>
      <x:c r="M225" s="9" t="str">
        <x:v>BNZ imported to TradePilot</x:v>
      </x:c>
      <x:c r="N225" s="9" t="str">
        <x:v>See ledger</x:v>
      </x:c>
    </x:row>
    <x:row r="226">
      <x:c r="A226" s="10" t="n">
        <x:v>46143</x:v>
      </x:c>
      <x:c r="B226" s="11" t="n">
        <x:v>-900</x:v>
      </x:c>
      <x:c r="C226" s="9" t="str">
        <x:v>Savings</x:v>
      </x:c>
      <x:c r="D226" s="9" t="str"/>
      <x:c r="E226" s="9" t="str"/>
      <x:c r="F226" s="9" t="str">
        <x:v>INTERNET XFR</x:v>
      </x:c>
      <x:c r="G226" s="9" t="str">
        <x:v>FT</x:v>
      </x:c>
      <x:c r="H226" s="9" t="str">
        <x:v>02-0568-0080488-10</x:v>
      </x:c>
      <x:c r="I226" s="9" t="str">
        <x:v>ignored</x:v>
      </x:c>
      <x:c r="J226" s="9" t="str">
        <x:v>Excluded: ignored</x:v>
      </x:c>
      <x:c r="K226" s="9" t="str"/>
      <x:c r="L226" s="9" t="str">
        <x:v>fya9af</x:v>
      </x:c>
      <x:c r="M226" s="9" t="str">
        <x:v>BNZ imported to TradePilot</x:v>
      </x:c>
      <x:c r="N226" s="9" t="str">
        <x:v>No</x:v>
      </x:c>
    </x:row>
    <x:row r="227">
      <x:c r="A227" s="10" t="n">
        <x:v>46144</x:v>
      </x:c>
      <x:c r="B227" s="11" t="n">
        <x:v>-34.81</x:v>
      </x:c>
      <x:c r="C227" s="9" t="str">
        <x:v>CURSOR  AI POWERED I</x:v>
      </x:c>
      <x:c r="D227" s="9" t="str">
        <x:v>5996</x:v>
      </x:c>
      <x:c r="E227" s="9" t="str">
        <x:v>CURSOR.COM</x:v>
      </x:c>
      <x:c r="F227" s="9" t="str">
        <x:v>401134022134</x:v>
      </x:c>
      <x:c r="G227" s="9" t="str">
        <x:v>POS</x:v>
      </x:c>
      <x:c r="H227" s="9" t="str">
        <x:v>---</x:v>
      </x:c>
      <x:c r="I227" s="9" t="str">
        <x:v>matched</x:v>
      </x:c>
      <x:c r="J227" s="9" t="str">
        <x:v>Use matched TradePilot coding</x:v>
      </x:c>
      <x:c r="K227" s="9" t="str"/>
      <x:c r="L227" s="9" t="str">
        <x:v>n2fwhk</x:v>
      </x:c>
      <x:c r="M227" s="9" t="str">
        <x:v>BNZ imported to TradePilot</x:v>
      </x:c>
      <x:c r="N227" s="9" t="str">
        <x:v>See ledger</x:v>
      </x:c>
    </x:row>
    <x:row r="228">
      <x:c r="A228" s="10" t="n">
        <x:v>46144</x:v>
      </x:c>
      <x:c r="B228" s="11" t="n">
        <x:v>-119.82</x:v>
      </x:c>
      <x:c r="C228" s="9" t="str">
        <x:v>BP CONNECT WANAKA</x:v>
      </x:c>
      <x:c r="D228" s="9" t="str">
        <x:v>5996</x:v>
      </x:c>
      <x:c r="E228" s="9" t="str">
        <x:v>WANAKA</x:v>
      </x:c>
      <x:c r="F228" s="9" t="str">
        <x:v>492102021029</x:v>
      </x:c>
      <x:c r="G228" s="9" t="str">
        <x:v>POS</x:v>
      </x:c>
      <x:c r="H228" s="9" t="str">
        <x:v>---</x:v>
      </x:c>
      <x:c r="I228" s="9" t="str">
        <x:v>matched</x:v>
      </x:c>
      <x:c r="J228" s="9" t="str">
        <x:v>Use matched TradePilot coding</x:v>
      </x:c>
      <x:c r="K228" s="9" t="str"/>
      <x:c r="L228" s="9" t="str">
        <x:v>514qks</x:v>
      </x:c>
      <x:c r="M228" s="9" t="str">
        <x:v>BNZ imported to TradePilot</x:v>
      </x:c>
      <x:c r="N228" s="9" t="str">
        <x:v>See ledger</x:v>
      </x:c>
    </x:row>
    <x:row r="229">
      <x:c r="A229" s="10" t="n">
        <x:v>46144</x:v>
      </x:c>
      <x:c r="B229" s="11" t="n">
        <x:v>-18.11</x:v>
      </x:c>
      <x:c r="C229" s="9" t="str">
        <x:v>Google Workspace_lak</x:v>
      </x:c>
      <x:c r="D229" s="9" t="str">
        <x:v>5996</x:v>
      </x:c>
      <x:c r="E229" s="9" t="str">
        <x:v>Auckland</x:v>
      </x:c>
      <x:c r="F229" s="9" t="str">
        <x:v>453241021208</x:v>
      </x:c>
      <x:c r="G229" s="9" t="str">
        <x:v>POS</x:v>
      </x:c>
      <x:c r="H229" s="9" t="str">
        <x:v>---</x:v>
      </x:c>
      <x:c r="I229" s="9" t="str">
        <x:v>matched</x:v>
      </x:c>
      <x:c r="J229" s="9" t="str">
        <x:v>Use matched TradePilot coding</x:v>
      </x:c>
      <x:c r="K229" s="9" t="str"/>
      <x:c r="L229" s="9" t="str">
        <x:v>3yun2e</x:v>
      </x:c>
      <x:c r="M229" s="9" t="str">
        <x:v>BNZ imported to TradePilot</x:v>
      </x:c>
      <x:c r="N229" s="9" t="str">
        <x:v>See ledger</x:v>
      </x:c>
    </x:row>
    <x:row r="230">
      <x:c r="A230" s="10" t="n">
        <x:v>46145</x:v>
      </x:c>
      <x:c r="B230" s="11" t="n">
        <x:v>-500</x:v>
      </x:c>
      <x:c r="C230" s="9" t="str">
        <x:v>YouMoney</x:v>
      </x:c>
      <x:c r="D230" s="9" t="str"/>
      <x:c r="E230" s="9" t="str"/>
      <x:c r="F230" s="9" t="str">
        <x:v>INTERNET XFR</x:v>
      </x:c>
      <x:c r="G230" s="9" t="str">
        <x:v>FT</x:v>
      </x:c>
      <x:c r="H230" s="9" t="str">
        <x:v>02-0568-0080488-83</x:v>
      </x:c>
      <x:c r="I230" s="9" t="str">
        <x:v>ignored</x:v>
      </x:c>
      <x:c r="J230" s="9" t="str">
        <x:v>Excluded: ignored</x:v>
      </x:c>
      <x:c r="K230" s="9" t="str"/>
      <x:c r="L230" s="9" t="str">
        <x:v>xhpocx</x:v>
      </x:c>
      <x:c r="M230" s="9" t="str">
        <x:v>BNZ imported to TradePilot</x:v>
      </x:c>
      <x:c r="N230" s="9" t="str">
        <x:v>No</x:v>
      </x:c>
    </x:row>
    <x:row r="231">
      <x:c r="A231" s="10" t="n">
        <x:v>46146</x:v>
      </x:c>
      <x:c r="B231" s="11" t="n">
        <x:v>-170.08</x:v>
      </x:c>
      <x:c r="C231" s="9" t="str">
        <x:v>785Pin* Hireworx New</x:v>
      </x:c>
      <x:c r="D231" s="9" t="str">
        <x:v>5996</x:v>
      </x:c>
      <x:c r="E231" s="9" t="str">
        <x:v>ealand Limit</x:v>
      </x:c>
      <x:c r="F231" s="9" t="str">
        <x:v>479068041151</x:v>
      </x:c>
      <x:c r="G231" s="9" t="str">
        <x:v>POS</x:v>
      </x:c>
      <x:c r="H231" s="9" t="str">
        <x:v>---</x:v>
      </x:c>
      <x:c r="I231" s="9" t="str">
        <x:v>matched</x:v>
      </x:c>
      <x:c r="J231" s="9" t="str">
        <x:v>Use matched TradePilot coding</x:v>
      </x:c>
      <x:c r="K231" s="9" t="str"/>
      <x:c r="L231" s="9" t="str">
        <x:v>tkfdzz</x:v>
      </x:c>
      <x:c r="M231" s="9" t="str">
        <x:v>BNZ imported to TradePilot</x:v>
      </x:c>
      <x:c r="N231" s="9" t="str">
        <x:v>See ledger</x:v>
      </x:c>
    </x:row>
    <x:row r="232">
      <x:c r="A232" s="10" t="n">
        <x:v>46146</x:v>
      </x:c>
      <x:c r="B232" s="11" t="n">
        <x:v>-28.58</x:v>
      </x:c>
      <x:c r="C232" s="9" t="str">
        <x:v>CURSOR USAGE  APR</x:v>
      </x:c>
      <x:c r="D232" s="9" t="str">
        <x:v>5996</x:v>
      </x:c>
      <x:c r="E232" s="9" t="str">
        <x:v>CURSOR.COM</x:v>
      </x:c>
      <x:c r="F232" s="9" t="str">
        <x:v>401134030314</x:v>
      </x:c>
      <x:c r="G232" s="9" t="str">
        <x:v>POS</x:v>
      </x:c>
      <x:c r="H232" s="9" t="str">
        <x:v>---</x:v>
      </x:c>
      <x:c r="I232" s="9" t="str">
        <x:v>matched</x:v>
      </x:c>
      <x:c r="J232" s="9" t="str">
        <x:v>Use matched TradePilot coding</x:v>
      </x:c>
      <x:c r="K232" s="9" t="str"/>
      <x:c r="L232" s="9" t="str">
        <x:v>csyvsv</x:v>
      </x:c>
      <x:c r="M232" s="9" t="str">
        <x:v>BNZ imported to TradePilot</x:v>
      </x:c>
      <x:c r="N232" s="9" t="str">
        <x:v>See ledger</x:v>
      </x:c>
    </x:row>
    <x:row r="233">
      <x:c r="A233" s="10" t="n">
        <x:v>46148</x:v>
      </x:c>
      <x:c r="B233" s="11" t="n">
        <x:v>483</x:v>
      </x:c>
      <x:c r="C233" s="9" t="str">
        <x:v>CHIRNSIDE C T</x:v>
      </x:c>
      <x:c r="D233" s="9" t="str"/>
      <x:c r="E233" s="9" t="str"/>
      <x:c r="F233" s="9" t="str">
        <x:v>InvCC-001</x:v>
      </x:c>
      <x:c r="G233" s="9" t="str">
        <x:v>BP</x:v>
      </x:c>
      <x:c r="H233" s="9" t="str">
        <x:v>02-0912-0346493-10</x:v>
      </x:c>
      <x:c r="I233" s="9" t="str">
        <x:v>matched</x:v>
      </x:c>
      <x:c r="J233" s="9" t="str">
        <x:v>Use matched TradePilot coding</x:v>
      </x:c>
      <x:c r="K233" s="9" t="str"/>
      <x:c r="L233" s="9" t="str">
        <x:v>glbl5e</x:v>
      </x:c>
      <x:c r="M233" s="9" t="str">
        <x:v>BNZ imported to TradePilot</x:v>
      </x:c>
      <x:c r="N233" s="9" t="str">
        <x:v>See ledger</x:v>
      </x:c>
    </x:row>
    <x:row r="234">
      <x:c r="A234" s="10" t="n">
        <x:v>46148</x:v>
      </x:c>
      <x:c r="B234" s="11" t="n">
        <x:v>-1000</x:v>
      </x:c>
      <x:c r="C234" s="9" t="str">
        <x:v>YouMoney</x:v>
      </x:c>
      <x:c r="D234" s="9" t="str"/>
      <x:c r="E234" s="9" t="str"/>
      <x:c r="F234" s="9" t="str">
        <x:v>INTERNET XFR</x:v>
      </x:c>
      <x:c r="G234" s="9" t="str">
        <x:v>FT</x:v>
      </x:c>
      <x:c r="H234" s="9" t="str">
        <x:v>02-0568-0080488-83</x:v>
      </x:c>
      <x:c r="I234" s="9" t="str">
        <x:v>ignored</x:v>
      </x:c>
      <x:c r="J234" s="9" t="str">
        <x:v>Excluded: ignored</x:v>
      </x:c>
      <x:c r="K234" s="9" t="str"/>
      <x:c r="L234" s="9" t="str">
        <x:v>cs6cxq</x:v>
      </x:c>
      <x:c r="M234" s="9" t="str">
        <x:v>BNZ imported to TradePilot</x:v>
      </x:c>
      <x:c r="N234" s="9" t="str">
        <x:v>No</x:v>
      </x:c>
    </x:row>
    <x:row r="235">
      <x:c r="A235" s="10" t="n">
        <x:v>46148</x:v>
      </x:c>
      <x:c r="B235" s="11" t="n">
        <x:v>-1000</x:v>
      </x:c>
      <x:c r="C235" s="9" t="str">
        <x:v>Savings</x:v>
      </x:c>
      <x:c r="D235" s="9" t="str"/>
      <x:c r="E235" s="9" t="str"/>
      <x:c r="F235" s="9" t="str">
        <x:v>INTERNET XFR</x:v>
      </x:c>
      <x:c r="G235" s="9" t="str">
        <x:v>FT</x:v>
      </x:c>
      <x:c r="H235" s="9" t="str">
        <x:v>02-0568-0080488-10</x:v>
      </x:c>
      <x:c r="I235" s="9" t="str">
        <x:v>ignored</x:v>
      </x:c>
      <x:c r="J235" s="9" t="str">
        <x:v>Excluded: ignored</x:v>
      </x:c>
      <x:c r="K235" s="9" t="str"/>
      <x:c r="L235" s="9" t="str">
        <x:v>btgxxo</x:v>
      </x:c>
      <x:c r="M235" s="9" t="str">
        <x:v>BNZ imported to TradePilot</x:v>
      </x:c>
      <x:c r="N235" s="9" t="str">
        <x:v>No</x:v>
      </x:c>
    </x:row>
    <x:row r="236">
      <x:c r="A236" s="10" t="n">
        <x:v>46149</x:v>
      </x:c>
      <x:c r="B236" s="11" t="n">
        <x:v>-40.08</x:v>
      </x:c>
      <x:c r="C236" s="9" t="str">
        <x:v>OPENAI *CHATGPT SUBS</x:v>
      </x:c>
      <x:c r="D236" s="9" t="str">
        <x:v>5996</x:v>
      </x:c>
      <x:c r="E236" s="9" t="str">
        <x:v>OPENAI.COM</x:v>
      </x:c>
      <x:c r="F236" s="9" t="str">
        <x:v>449216072130</x:v>
      </x:c>
      <x:c r="G236" s="9" t="str">
        <x:v>POS</x:v>
      </x:c>
      <x:c r="H236" s="9" t="str">
        <x:v>---</x:v>
      </x:c>
      <x:c r="I236" s="9" t="str">
        <x:v>matched</x:v>
      </x:c>
      <x:c r="J236" s="9" t="str">
        <x:v>Use matched TradePilot coding</x:v>
      </x:c>
      <x:c r="K236" s="9" t="str"/>
      <x:c r="L236" s="9" t="str">
        <x:v>63syn2</x:v>
      </x:c>
      <x:c r="M236" s="9" t="str">
        <x:v>BNZ imported to TradePilot</x:v>
      </x:c>
      <x:c r="N236" s="9" t="str">
        <x:v>See ledger</x:v>
      </x:c>
    </x:row>
    <x:row r="237">
      <x:c r="A237" s="10" t="n">
        <x:v>46149</x:v>
      </x:c>
      <x:c r="B237" s="11" t="n">
        <x:v>-100.85</x:v>
      </x:c>
      <x:c r="C237" s="9" t="str">
        <x:v>BP CONNECT WANAKA</x:v>
      </x:c>
      <x:c r="D237" s="9" t="str">
        <x:v>5996</x:v>
      </x:c>
      <x:c r="E237" s="9" t="str">
        <x:v>WANAKA</x:v>
      </x:c>
      <x:c r="F237" s="9" t="str">
        <x:v>492102071452</x:v>
      </x:c>
      <x:c r="G237" s="9" t="str">
        <x:v>POS</x:v>
      </x:c>
      <x:c r="H237" s="9" t="str">
        <x:v>---</x:v>
      </x:c>
      <x:c r="I237" s="9" t="str">
        <x:v>matched</x:v>
      </x:c>
      <x:c r="J237" s="9" t="str">
        <x:v>Use matched TradePilot coding</x:v>
      </x:c>
      <x:c r="K237" s="9" t="str"/>
      <x:c r="L237" s="9" t="str">
        <x:v>v7i9ov</x:v>
      </x:c>
      <x:c r="M237" s="9" t="str">
        <x:v>BNZ imported to TradePilot</x:v>
      </x:c>
      <x:c r="N237" s="9" t="str">
        <x:v>See ledger</x:v>
      </x:c>
    </x:row>
    <x:row r="238">
      <x:c r="A238" s="10" t="n">
        <x:v>46150</x:v>
      </x:c>
      <x:c r="B238" s="11" t="n">
        <x:v>-208.85</x:v>
      </x:c>
      <x:c r="C238" s="9" t="str">
        <x:v>Resene - Wanaka 087</x:v>
      </x:c>
      <x:c r="D238" s="9" t="str">
        <x:v>5996</x:v>
      </x:c>
      <x:c r="E238" s="9" t="str">
        <x:v>Wanaka</x:v>
      </x:c>
      <x:c r="F238" s="9" t="str">
        <x:v>420549081526</x:v>
      </x:c>
      <x:c r="G238" s="9" t="str">
        <x:v>POS</x:v>
      </x:c>
      <x:c r="H238" s="9" t="str">
        <x:v>---</x:v>
      </x:c>
      <x:c r="I238" s="9" t="str">
        <x:v>matched</x:v>
      </x:c>
      <x:c r="J238" s="9" t="str">
        <x:v>Use matched TradePilot coding</x:v>
      </x:c>
      <x:c r="K238" s="9" t="str"/>
      <x:c r="L238" s="9" t="str">
        <x:v>f7r1is</x:v>
      </x:c>
      <x:c r="M238" s="9" t="str">
        <x:v>BNZ imported to TradePilot</x:v>
      </x:c>
      <x:c r="N238" s="9" t="str">
        <x:v>See ledger</x:v>
      </x:c>
    </x:row>
    <x:row r="239">
      <x:c r="A239" s="10" t="n">
        <x:v>46150</x:v>
      </x:c>
      <x:c r="B239" s="11" t="n">
        <x:v>1493.85</x:v>
      </x:c>
      <x:c r="C239" s="9" t="str">
        <x:v>VANDERMOLEN A</x:v>
      </x:c>
      <x:c r="D239" s="9" t="str">
        <x:v>Maplesden</x:v>
      </x:c>
      <x:c r="E239" s="9" t="str"/>
      <x:c r="F239" s="9" t="str">
        <x:v>INV. Q032</x:v>
      </x:c>
      <x:c r="G239" s="9" t="str">
        <x:v>BP</x:v>
      </x:c>
      <x:c r="H239" s="9" t="str">
        <x:v>06-0501-0666185-05</x:v>
      </x:c>
      <x:c r="I239" s="9" t="str">
        <x:v>matched</x:v>
      </x:c>
      <x:c r="J239" s="9" t="str">
        <x:v>Use matched TradePilot coding</x:v>
      </x:c>
      <x:c r="K239" s="9" t="str"/>
      <x:c r="L239" s="9" t="str">
        <x:v>h6h77c</x:v>
      </x:c>
      <x:c r="M239" s="9" t="str">
        <x:v>BNZ imported to TradePilot</x:v>
      </x:c>
      <x:c r="N239" s="9" t="str">
        <x:v>See ledger</x:v>
      </x:c>
    </x:row>
    <x:row r="240">
      <x:c r="A240" s="10" t="n">
        <x:v>46151</x:v>
      </x:c>
      <x:c r="B240" s="11" t="n">
        <x:v>-11.5</x:v>
      </x:c>
      <x:c r="C240" s="9" t="str">
        <x:v>MIN BUS INNOVATION &amp;</x:v>
      </x:c>
      <x:c r="D240" s="9" t="str">
        <x:v>5996</x:v>
      </x:c>
      <x:c r="E240" s="9" t="str">
        <x:v>WELLINGTON</x:v>
      </x:c>
      <x:c r="F240" s="9" t="str">
        <x:v>455046091429</x:v>
      </x:c>
      <x:c r="G240" s="9" t="str">
        <x:v>POS</x:v>
      </x:c>
      <x:c r="H240" s="9" t="str">
        <x:v>---</x:v>
      </x:c>
      <x:c r="I240" s="9" t="str">
        <x:v>matched</x:v>
      </x:c>
      <x:c r="J240" s="9" t="str">
        <x:v>Use matched TradePilot coding</x:v>
      </x:c>
      <x:c r="K240" s="9" t="str"/>
      <x:c r="L240" s="9" t="str">
        <x:v>xpv568</x:v>
      </x:c>
      <x:c r="M240" s="9" t="str">
        <x:v>BNZ imported to TradePilot</x:v>
      </x:c>
      <x:c r="N240" s="9" t="str">
        <x:v>See ledger</x:v>
      </x:c>
    </x:row>
    <x:row r="241">
      <x:c r="A241" s="10" t="n">
        <x:v>46151</x:v>
      </x:c>
      <x:c r="B241" s="11" t="n">
        <x:v>-300</x:v>
      </x:c>
      <x:c r="C241" s="9" t="str">
        <x:v>Savings</x:v>
      </x:c>
      <x:c r="D241" s="9" t="str"/>
      <x:c r="E241" s="9" t="str"/>
      <x:c r="F241" s="9" t="str">
        <x:v>INTERNET XFR</x:v>
      </x:c>
      <x:c r="G241" s="9" t="str">
        <x:v>FT</x:v>
      </x:c>
      <x:c r="H241" s="9" t="str">
        <x:v>02-0568-0080488-10</x:v>
      </x:c>
      <x:c r="I241" s="9" t="str">
        <x:v>ignored</x:v>
      </x:c>
      <x:c r="J241" s="9" t="str">
        <x:v>Excluded: ignored</x:v>
      </x:c>
      <x:c r="K241" s="9" t="str"/>
      <x:c r="L241" s="9" t="str">
        <x:v>v2v0l3</x:v>
      </x:c>
      <x:c r="M241" s="9" t="str">
        <x:v>BNZ imported to TradePilot</x:v>
      </x:c>
      <x:c r="N241" s="9" t="str">
        <x:v>No</x:v>
      </x:c>
    </x:row>
    <x:row r="242">
      <x:c r="A242" s="10" t="n">
        <x:v>46151</x:v>
      </x:c>
      <x:c r="B242" s="11" t="n">
        <x:v>-900</x:v>
      </x:c>
      <x:c r="C242" s="9" t="str">
        <x:v>Taxes</x:v>
      </x:c>
      <x:c r="D242" s="9" t="str"/>
      <x:c r="E242" s="9" t="str"/>
      <x:c r="F242" s="9" t="str">
        <x:v>INTERNET XFR</x:v>
      </x:c>
      <x:c r="G242" s="9" t="str">
        <x:v>FT</x:v>
      </x:c>
      <x:c r="H242" s="9" t="str">
        <x:v>02-0568-0080488-09</x:v>
      </x:c>
      <x:c r="I242" s="9" t="str">
        <x:v>ignored</x:v>
      </x:c>
      <x:c r="J242" s="9" t="str">
        <x:v>Excluded: ignored</x:v>
      </x:c>
      <x:c r="K242" s="9" t="str"/>
      <x:c r="L242" s="9" t="str">
        <x:v>ix6imx</x:v>
      </x:c>
      <x:c r="M242" s="9" t="str">
        <x:v>BNZ imported to TradePilot</x:v>
      </x:c>
      <x:c r="N242" s="9" t="str">
        <x:v>No</x:v>
      </x:c>
    </x:row>
    <x:row r="243">
      <x:c r="A243" s="10" t="n">
        <x:v>46151</x:v>
      </x:c>
      <x:c r="B243" s="11" t="n">
        <x:v>-600</x:v>
      </x:c>
      <x:c r="C243" s="9" t="str">
        <x:v>YouMoney</x:v>
      </x:c>
      <x:c r="D243" s="9" t="str"/>
      <x:c r="E243" s="9" t="str"/>
      <x:c r="F243" s="9" t="str">
        <x:v>INTERNET XFR</x:v>
      </x:c>
      <x:c r="G243" s="9" t="str">
        <x:v>FT</x:v>
      </x:c>
      <x:c r="H243" s="9" t="str">
        <x:v>02-0568-0080488-83</x:v>
      </x:c>
      <x:c r="I243" s="9" t="str">
        <x:v>ignored</x:v>
      </x:c>
      <x:c r="J243" s="9" t="str">
        <x:v>Excluded: ignored</x:v>
      </x:c>
      <x:c r="K243" s="9" t="str"/>
      <x:c r="L243" s="9" t="str">
        <x:v>if0rey</x:v>
      </x:c>
      <x:c r="M243" s="9" t="str">
        <x:v>BNZ imported to TradePilot</x:v>
      </x:c>
      <x:c r="N243" s="9" t="str">
        <x:v>No</x:v>
      </x:c>
    </x:row>
    <x:row r="244">
      <x:c r="A244" s="10" t="n">
        <x:v>46152</x:v>
      </x:c>
      <x:c r="B244" s="11" t="n">
        <x:v>-62.22</x:v>
      </x:c>
      <x:c r="C244" s="9" t="str">
        <x:v>THE MEAT PREACHERS</x:v>
      </x:c>
      <x:c r="D244" s="9" t="str">
        <x:v>5996</x:v>
      </x:c>
      <x:c r="E244" s="9" t="str">
        <x:v>QUEENSTOWN</x:v>
      </x:c>
      <x:c r="F244" s="9" t="str">
        <x:v>434667100645</x:v>
      </x:c>
      <x:c r="G244" s="9" t="str">
        <x:v>POS</x:v>
      </x:c>
      <x:c r="H244" s="9" t="str">
        <x:v>---</x:v>
      </x:c>
      <x:c r="I244" s="9" t="str">
        <x:v>matched</x:v>
      </x:c>
      <x:c r="J244" s="9" t="str">
        <x:v>Use matched TradePilot coding</x:v>
      </x:c>
      <x:c r="K244" s="9" t="str"/>
      <x:c r="L244" s="9" t="str">
        <x:v>h3chg6</x:v>
      </x:c>
      <x:c r="M244" s="9" t="str">
        <x:v>BNZ imported to TradePilot</x:v>
      </x:c>
      <x:c r="N244" s="9" t="str">
        <x:v>See ledger</x:v>
      </x:c>
    </x:row>
    <x:row r="245">
      <x:c r="A245" s="10" t="n">
        <x:v>46152</x:v>
      </x:c>
      <x:c r="B245" s="11" t="n">
        <x:v>-100.29</x:v>
      </x:c>
      <x:c r="C245" s="9" t="str">
        <x:v>BP CONNECT WANAKA</x:v>
      </x:c>
      <x:c r="D245" s="9" t="str">
        <x:v>5996</x:v>
      </x:c>
      <x:c r="E245" s="9" t="str">
        <x:v>WANAKA</x:v>
      </x:c>
      <x:c r="F245" s="9" t="str">
        <x:v>492102100922</x:v>
      </x:c>
      <x:c r="G245" s="9" t="str">
        <x:v>POS</x:v>
      </x:c>
      <x:c r="H245" s="9" t="str">
        <x:v>---</x:v>
      </x:c>
      <x:c r="I245" s="9" t="str">
        <x:v>matched</x:v>
      </x:c>
      <x:c r="J245" s="9" t="str">
        <x:v>Use matched TradePilot coding</x:v>
      </x:c>
      <x:c r="K245" s="9" t="str"/>
      <x:c r="L245" s="9" t="str">
        <x:v>8t56yq</x:v>
      </x:c>
      <x:c r="M245" s="9" t="str">
        <x:v>BNZ imported to TradePilot</x:v>
      </x:c>
      <x:c r="N245" s="9" t="str">
        <x:v>See ledger</x:v>
      </x:c>
    </x:row>
    <x:row r="246">
      <x:c r="A246" s="10" t="n">
        <x:v>46153</x:v>
      </x:c>
      <x:c r="B246" s="11" t="n">
        <x:v>-28.99</x:v>
      </x:c>
      <x:c r="C246" s="9" t="str">
        <x:v>SPOTIFY</x:v>
      </x:c>
      <x:c r="D246" s="9" t="str">
        <x:v>5996</x:v>
      </x:c>
      <x:c r="E246" s="9" t="str">
        <x:v>STOCKHOLM</x:v>
      </x:c>
      <x:c r="F246" s="9" t="str">
        <x:v>414361111721</x:v>
      </x:c>
      <x:c r="G246" s="9" t="str">
        <x:v>POS</x:v>
      </x:c>
      <x:c r="H246" s="9" t="str">
        <x:v>---</x:v>
      </x:c>
      <x:c r="I246" s="9" t="str">
        <x:v>personal</x:v>
      </x:c>
      <x:c r="J246" s="9" t="str">
        <x:v>Excluded: personal</x:v>
      </x:c>
      <x:c r="K246" s="9" t="str"/>
      <x:c r="L246" s="9" t="str">
        <x:v>1z0ef6</x:v>
      </x:c>
      <x:c r="M246" s="9" t="str">
        <x:v>BNZ imported to TradePilot</x:v>
      </x:c>
      <x:c r="N246" s="9" t="str">
        <x:v>No</x:v>
      </x:c>
    </x:row>
    <x:row r="247">
      <x:c r="A247" s="10" t="n">
        <x:v>46154</x:v>
      </x:c>
      <x:c r="B247" s="11" t="n">
        <x:v>2942.85</x:v>
      </x:c>
      <x:c r="C247" s="9" t="str">
        <x:v>UCL COMMERCIAL</x:v>
      </x:c>
      <x:c r="D247" s="9" t="str">
        <x:v>PH Wanaka</x:v>
      </x:c>
      <x:c r="E247" s="9" t="str">
        <x:v>Painting</x:v>
      </x:c>
      <x:c r="F247" s="9" t="str">
        <x:v>UCL COMM</x:v>
      </x:c>
      <x:c r="G247" s="9" t="str">
        <x:v>BP</x:v>
      </x:c>
      <x:c r="H247" s="9" t="str">
        <x:v>02-0108-0897243-00</x:v>
      </x:c>
      <x:c r="I247" s="9" t="str">
        <x:v>matched</x:v>
      </x:c>
      <x:c r="J247" s="9" t="str">
        <x:v>Use matched TradePilot coding</x:v>
      </x:c>
      <x:c r="K247" s="9" t="str"/>
      <x:c r="L247" s="9" t="str">
        <x:v>kzb74o</x:v>
      </x:c>
      <x:c r="M247" s="9" t="str">
        <x:v>BNZ imported to TradePilot</x:v>
      </x:c>
      <x:c r="N247" s="9" t="str">
        <x:v>See ledger</x:v>
      </x:c>
    </x:row>
    <x:row r="248">
      <x:c r="A248" s="10" t="n">
        <x:v>46154</x:v>
      </x:c>
      <x:c r="B248" s="11" t="n">
        <x:v>-135</x:v>
      </x:c>
      <x:c r="C248" s="9" t="str">
        <x:v>A BLENDS</x:v>
      </x:c>
      <x:c r="D248" s="9" t="str">
        <x:v>5996</x:v>
      </x:c>
      <x:c r="E248" s="9" t="str">
        <x:v>MAUNU</x:v>
      </x:c>
      <x:c r="F248" s="9" t="str">
        <x:v>448131120353</x:v>
      </x:c>
      <x:c r="G248" s="9" t="str">
        <x:v>POS</x:v>
      </x:c>
      <x:c r="H248" s="9" t="str">
        <x:v>---</x:v>
      </x:c>
      <x:c r="I248" s="9" t="str">
        <x:v>personal</x:v>
      </x:c>
      <x:c r="J248" s="9" t="str">
        <x:v>Excluded: personal</x:v>
      </x:c>
      <x:c r="K248" s="9" t="str"/>
      <x:c r="L248" s="9" t="str">
        <x:v>ah4m32</x:v>
      </x:c>
      <x:c r="M248" s="9" t="str">
        <x:v>BNZ imported to TradePilot</x:v>
      </x:c>
      <x:c r="N248" s="9" t="str">
        <x:v>No</x:v>
      </x:c>
    </x:row>
    <x:row r="249">
      <x:c r="A249" s="10" t="n">
        <x:v>46155</x:v>
      </x:c>
      <x:c r="B249" s="11" t="n">
        <x:v>-300</x:v>
      </x:c>
      <x:c r="C249" s="9" t="str">
        <x:v>YouMoney</x:v>
      </x:c>
      <x:c r="D249" s="9" t="str"/>
      <x:c r="E249" s="9" t="str"/>
      <x:c r="F249" s="9" t="str">
        <x:v>INTERNET XFR</x:v>
      </x:c>
      <x:c r="G249" s="9" t="str">
        <x:v>FT</x:v>
      </x:c>
      <x:c r="H249" s="9" t="str">
        <x:v>02-0568-0080488-83</x:v>
      </x:c>
      <x:c r="I249" s="9" t="str">
        <x:v>ignored</x:v>
      </x:c>
      <x:c r="J249" s="9" t="str">
        <x:v>Excluded: ignored</x:v>
      </x:c>
      <x:c r="K249" s="9" t="str"/>
      <x:c r="L249" s="9" t="str">
        <x:v>5gusgi</x:v>
      </x:c>
      <x:c r="M249" s="9" t="str">
        <x:v>BNZ imported to TradePilot</x:v>
      </x:c>
      <x:c r="N249" s="9" t="str">
        <x:v>No</x:v>
      </x:c>
    </x:row>
    <x:row r="250">
      <x:c r="A250" s="10" t="n">
        <x:v>46155</x:v>
      </x:c>
      <x:c r="B250" s="11" t="n">
        <x:v>-900</x:v>
      </x:c>
      <x:c r="C250" s="9" t="str">
        <x:v>Taxes</x:v>
      </x:c>
      <x:c r="D250" s="9" t="str"/>
      <x:c r="E250" s="9" t="str"/>
      <x:c r="F250" s="9" t="str">
        <x:v>INTERNET XFR</x:v>
      </x:c>
      <x:c r="G250" s="9" t="str">
        <x:v>FT</x:v>
      </x:c>
      <x:c r="H250" s="9" t="str">
        <x:v>02-0568-0080488-09</x:v>
      </x:c>
      <x:c r="I250" s="9" t="str">
        <x:v>ignored</x:v>
      </x:c>
      <x:c r="J250" s="9" t="str">
        <x:v>Excluded: ignored</x:v>
      </x:c>
      <x:c r="K250" s="9" t="str"/>
      <x:c r="L250" s="9" t="str">
        <x:v>as5xfw</x:v>
      </x:c>
      <x:c r="M250" s="9" t="str">
        <x:v>BNZ imported to TradePilot</x:v>
      </x:c>
      <x:c r="N250" s="9" t="str">
        <x:v>No</x:v>
      </x:c>
    </x:row>
    <x:row r="251">
      <x:c r="A251" s="10" t="n">
        <x:v>46155</x:v>
      </x:c>
      <x:c r="B251" s="11" t="n">
        <x:v>-500</x:v>
      </x:c>
      <x:c r="C251" s="9" t="str">
        <x:v>Savings</x:v>
      </x:c>
      <x:c r="D251" s="9" t="str"/>
      <x:c r="E251" s="9" t="str"/>
      <x:c r="F251" s="9" t="str">
        <x:v>INTERNET XFR</x:v>
      </x:c>
      <x:c r="G251" s="9" t="str">
        <x:v>FT</x:v>
      </x:c>
      <x:c r="H251" s="9" t="str">
        <x:v>02-0568-0080488-10</x:v>
      </x:c>
      <x:c r="I251" s="9" t="str">
        <x:v>ignored</x:v>
      </x:c>
      <x:c r="J251" s="9" t="str">
        <x:v>Excluded: ignored</x:v>
      </x:c>
      <x:c r="K251" s="9" t="str"/>
      <x:c r="L251" s="9" t="str">
        <x:v>cr49ra</x:v>
      </x:c>
      <x:c r="M251" s="9" t="str">
        <x:v>BNZ imported to TradePilot</x:v>
      </x:c>
      <x:c r="N251" s="9" t="str">
        <x:v>No</x:v>
      </x:c>
    </x:row>
    <x:row r="252">
      <x:c r="A252" s="10" t="n">
        <x:v>46156</x:v>
      </x:c>
      <x:c r="B252" s="11" t="n">
        <x:v>-9.94</x:v>
      </x:c>
      <x:c r="C252" s="9" t="str">
        <x:v>ANTHROPIC</x:v>
      </x:c>
      <x:c r="D252" s="9" t="str">
        <x:v>5996</x:v>
      </x:c>
      <x:c r="E252" s="9" t="str">
        <x:v>ANTHROPIC.CO</x:v>
      </x:c>
      <x:c r="F252" s="9" t="str">
        <x:v>401134141614</x:v>
      </x:c>
      <x:c r="G252" s="9" t="str">
        <x:v>POS</x:v>
      </x:c>
      <x:c r="H252" s="9" t="str">
        <x:v>---</x:v>
      </x:c>
      <x:c r="I252" s="9" t="str">
        <x:v>matched</x:v>
      </x:c>
      <x:c r="J252" s="9" t="str">
        <x:v>Use matched TradePilot coding</x:v>
      </x:c>
      <x:c r="K252" s="9" t="str"/>
      <x:c r="L252" s="9" t="str">
        <x:v>zgc4tj</x:v>
      </x:c>
      <x:c r="M252" s="9" t="str">
        <x:v>BNZ imported to TradePilot</x:v>
      </x:c>
      <x:c r="N252" s="9" t="str">
        <x:v>See ledger</x:v>
      </x:c>
    </x:row>
    <x:row r="253">
      <x:c r="A253" s="10" t="n">
        <x:v>46157</x:v>
      </x:c>
      <x:c r="B253" s="11" t="n">
        <x:v>-46.76</x:v>
      </x:c>
      <x:c r="C253" s="9" t="str">
        <x:v>b.social</x:v>
      </x:c>
      <x:c r="D253" s="9" t="str">
        <x:v>5996</x:v>
      </x:c>
      <x:c r="E253" s="9" t="str">
        <x:v>Wanaka</x:v>
      </x:c>
      <x:c r="F253" s="9" t="str">
        <x:v>420549151259</x:v>
      </x:c>
      <x:c r="G253" s="9" t="str">
        <x:v>POS</x:v>
      </x:c>
      <x:c r="H253" s="9" t="str">
        <x:v>---</x:v>
      </x:c>
      <x:c r="I253" s="9" t="str">
        <x:v>matched</x:v>
      </x:c>
      <x:c r="J253" s="9" t="str">
        <x:v>Use matched TradePilot coding</x:v>
      </x:c>
      <x:c r="K253" s="9" t="str"/>
      <x:c r="L253" s="9" t="str">
        <x:v>1wwunh</x:v>
      </x:c>
      <x:c r="M253" s="9" t="str">
        <x:v>BNZ imported to TradePilot</x:v>
      </x:c>
      <x:c r="N253" s="9" t="str">
        <x:v>See ledger</x:v>
      </x:c>
    </x:row>
    <x:row r="254">
      <x:c r="A254" s="10" t="n">
        <x:v>46157</x:v>
      </x:c>
      <x:c r="B254" s="11" t="n">
        <x:v>-10.17</x:v>
      </x:c>
      <x:c r="C254" s="9" t="str">
        <x:v>b.social</x:v>
      </x:c>
      <x:c r="D254" s="9" t="str">
        <x:v>5996</x:v>
      </x:c>
      <x:c r="E254" s="9" t="str">
        <x:v>Wanaka</x:v>
      </x:c>
      <x:c r="F254" s="9" t="str">
        <x:v>420549151340</x:v>
      </x:c>
      <x:c r="G254" s="9" t="str">
        <x:v>POS</x:v>
      </x:c>
      <x:c r="H254" s="9" t="str">
        <x:v>---</x:v>
      </x:c>
      <x:c r="I254" s="9" t="str">
        <x:v>matched</x:v>
      </x:c>
      <x:c r="J254" s="9" t="str">
        <x:v>Use matched TradePilot coding</x:v>
      </x:c>
      <x:c r="K254" s="9" t="str"/>
      <x:c r="L254" s="9" t="str">
        <x:v>x9cb62</x:v>
      </x:c>
      <x:c r="M254" s="9" t="str">
        <x:v>BNZ imported to TradePilot</x:v>
      </x:c>
      <x:c r="N254" s="9" t="str">
        <x:v>See ledger</x:v>
      </x:c>
    </x:row>
    <x:row r="255">
      <x:c r="A255" s="10" t="n">
        <x:v>46157</x:v>
      </x:c>
      <x:c r="B255" s="11" t="n">
        <x:v>-301.97</x:v>
      </x:c>
      <x:c r="C255" s="9" t="str">
        <x:v>Wanaka Auto Repairs</x:v>
      </x:c>
      <x:c r="D255" s="9" t="str">
        <x:v>554447505996</x:v>
      </x:c>
      <x:c r="E255" s="9" t="str">
        <x:v>Wanaka</x:v>
      </x:c>
      <x:c r="F255" s="9" t="str">
        <x:v>0499151638</x:v>
      </x:c>
      <x:c r="G255" s="9" t="str">
        <x:v>POS</x:v>
      </x:c>
      <x:c r="H255" s="9" t="str">
        <x:v>---</x:v>
      </x:c>
      <x:c r="I255" s="9" t="str">
        <x:v>matched</x:v>
      </x:c>
      <x:c r="J255" s="9" t="str">
        <x:v>Use matched TradePilot coding</x:v>
      </x:c>
      <x:c r="K255" s="9" t="str"/>
      <x:c r="L255" s="9" t="str">
        <x:v>6fw7qq</x:v>
      </x:c>
      <x:c r="M255" s="9" t="str">
        <x:v>BNZ imported to TradePilot</x:v>
      </x:c>
      <x:c r="N255" s="9" t="str">
        <x:v>See ledger</x:v>
      </x:c>
    </x:row>
    <x:row r="256">
      <x:c r="A256" s="10" t="n">
        <x:v>46157</x:v>
      </x:c>
      <x:c r="B256" s="11" t="n">
        <x:v>-4000</x:v>
      </x:c>
      <x:c r="C256" s="9" t="str">
        <x:v>Taxes</x:v>
      </x:c>
      <x:c r="D256" s="9" t="str"/>
      <x:c r="E256" s="9" t="str"/>
      <x:c r="F256" s="9" t="str">
        <x:v>INTERNET XFR</x:v>
      </x:c>
      <x:c r="G256" s="9" t="str">
        <x:v>FT</x:v>
      </x:c>
      <x:c r="H256" s="9" t="str">
        <x:v>02-0568-0080488-09</x:v>
      </x:c>
      <x:c r="I256" s="9" t="str">
        <x:v>ignored</x:v>
      </x:c>
      <x:c r="J256" s="9" t="str">
        <x:v>Excluded: ignored</x:v>
      </x:c>
      <x:c r="K256" s="9" t="str"/>
      <x:c r="L256" s="9" t="str">
        <x:v>aehqn5</x:v>
      </x:c>
      <x:c r="M256" s="9" t="str">
        <x:v>BNZ imported to TradePilot</x:v>
      </x:c>
      <x:c r="N256" s="9" t="str">
        <x:v>No</x:v>
      </x:c>
    </x:row>
    <x:row r="257">
      <x:c r="A257" s="10" t="n">
        <x:v>46158</x:v>
      </x:c>
      <x:c r="B257" s="11" t="n">
        <x:v>-119.35</x:v>
      </x:c>
      <x:c r="C257" s="9" t="str">
        <x:v>MITRE 10 MEGA WANAKA</x:v>
      </x:c>
      <x:c r="D257" s="9" t="str">
        <x:v>5996</x:v>
      </x:c>
      <x:c r="E257" s="9" t="str">
        <x:v>WANAKA</x:v>
      </x:c>
      <x:c r="F257" s="9" t="str">
        <x:v>434667160852</x:v>
      </x:c>
      <x:c r="G257" s="9" t="str">
        <x:v>POS</x:v>
      </x:c>
      <x:c r="H257" s="9" t="str">
        <x:v>---</x:v>
      </x:c>
      <x:c r="I257" s="9" t="str">
        <x:v>matched</x:v>
      </x:c>
      <x:c r="J257" s="9" t="str">
        <x:v>Use matched TradePilot coding</x:v>
      </x:c>
      <x:c r="K257" s="9" t="str"/>
      <x:c r="L257" s="9" t="str">
        <x:v>f61sjn</x:v>
      </x:c>
      <x:c r="M257" s="9" t="str">
        <x:v>BNZ imported to TradePilot</x:v>
      </x:c>
      <x:c r="N257" s="9" t="str">
        <x:v>See ledger</x:v>
      </x:c>
    </x:row>
    <x:row r="258">
      <x:c r="A258" s="10" t="n">
        <x:v>46158</x:v>
      </x:c>
      <x:c r="B258" s="11" t="n">
        <x:v>-11.8</x:v>
      </x:c>
      <x:c r="C258" s="9" t="str">
        <x:v>BP CONNECT WANAKA</x:v>
      </x:c>
      <x:c r="D258" s="9" t="str">
        <x:v>5996</x:v>
      </x:c>
      <x:c r="E258" s="9" t="str">
        <x:v>WANAKA</x:v>
      </x:c>
      <x:c r="F258" s="9" t="str">
        <x:v>492102161133</x:v>
      </x:c>
      <x:c r="G258" s="9" t="str">
        <x:v>POS</x:v>
      </x:c>
      <x:c r="H258" s="9" t="str">
        <x:v>---</x:v>
      </x:c>
      <x:c r="I258" s="9" t="str">
        <x:v>personal</x:v>
      </x:c>
      <x:c r="J258" s="9" t="str">
        <x:v>Excluded: personal</x:v>
      </x:c>
      <x:c r="K258" s="9" t="str"/>
      <x:c r="L258" s="9" t="str">
        <x:v>jqwfe1</x:v>
      </x:c>
      <x:c r="M258" s="9" t="str">
        <x:v>BNZ imported to TradePilot</x:v>
      </x:c>
      <x:c r="N258" s="9" t="str">
        <x:v>No</x:v>
      </x:c>
    </x:row>
    <x:row r="259">
      <x:c r="A259" s="10" t="n">
        <x:v>46158</x:v>
      </x:c>
      <x:c r="B259" s="11" t="n">
        <x:v>-193.73</x:v>
      </x:c>
      <x:c r="C259" s="9" t="str">
        <x:v>ONE NZ</x:v>
      </x:c>
      <x:c r="D259" s="9" t="str">
        <x:v>5996</x:v>
      </x:c>
      <x:c r="E259" s="9" t="str">
        <x:v>AUCKLAND</x:v>
      </x:c>
      <x:c r="F259" s="9" t="str">
        <x:v>432129160849</x:v>
      </x:c>
      <x:c r="G259" s="9" t="str">
        <x:v>POS</x:v>
      </x:c>
      <x:c r="H259" s="9" t="str">
        <x:v>---</x:v>
      </x:c>
      <x:c r="I259" s="9" t="str">
        <x:v>matched</x:v>
      </x:c>
      <x:c r="J259" s="9" t="str">
        <x:v>Use matched TradePilot coding</x:v>
      </x:c>
      <x:c r="K259" s="9" t="str"/>
      <x:c r="L259" s="9" t="str">
        <x:v>49kaan</x:v>
      </x:c>
      <x:c r="M259" s="9" t="str">
        <x:v>BNZ imported to TradePilot</x:v>
      </x:c>
      <x:c r="N259" s="9" t="str">
        <x:v>See ledger</x:v>
      </x:c>
    </x:row>
    <x:row r="260">
      <x:c r="A260" s="10" t="n">
        <x:v>46159</x:v>
      </x:c>
      <x:c r="B260" s="11" t="n">
        <x:v>-250</x:v>
      </x:c>
      <x:c r="C260" s="9" t="str">
        <x:v>YouMoney</x:v>
      </x:c>
      <x:c r="D260" s="9" t="str"/>
      <x:c r="E260" s="9" t="str"/>
      <x:c r="F260" s="9" t="str">
        <x:v>INTERNET XFR</x:v>
      </x:c>
      <x:c r="G260" s="9" t="str">
        <x:v>FT</x:v>
      </x:c>
      <x:c r="H260" s="9" t="str">
        <x:v>02-0568-0080488-83</x:v>
      </x:c>
      <x:c r="I260" s="9" t="str">
        <x:v>ignored</x:v>
      </x:c>
      <x:c r="J260" s="9" t="str">
        <x:v>Excluded: ignored</x:v>
      </x:c>
      <x:c r="K260" s="9" t="str"/>
      <x:c r="L260" s="9" t="str">
        <x:v>fqgx1y</x:v>
      </x:c>
      <x:c r="M260" s="9" t="str">
        <x:v>BNZ imported to TradePilot</x:v>
      </x:c>
      <x:c r="N260" s="9" t="str">
        <x:v>No</x:v>
      </x:c>
    </x:row>
    <x:row r="261">
      <x:c r="A261" s="10" t="n">
        <x:v>46160</x:v>
      </x:c>
      <x:c r="B261" s="11" t="n">
        <x:v>-475.51</x:v>
      </x:c>
      <x:c r="C261" s="9" t="str">
        <x:v>WWW.TRADEMAX.CO.NZ</x:v>
      </x:c>
      <x:c r="D261" s="9" t="str">
        <x:v>5996</x:v>
      </x:c>
      <x:c r="E261" s="9" t="str">
        <x:v>DUNEDIN</x:v>
      </x:c>
      <x:c r="F261" s="9" t="str">
        <x:v>448131171200</x:v>
      </x:c>
      <x:c r="G261" s="9" t="str">
        <x:v>POS</x:v>
      </x:c>
      <x:c r="H261" s="9" t="str">
        <x:v>---</x:v>
      </x:c>
      <x:c r="I261" s="9" t="str">
        <x:v>matched</x:v>
      </x:c>
      <x:c r="J261" s="9" t="str">
        <x:v>Use matched TradePilot coding</x:v>
      </x:c>
      <x:c r="K261" s="9" t="str"/>
      <x:c r="L261" s="9" t="str">
        <x:v>5q47b8</x:v>
      </x:c>
      <x:c r="M261" s="9" t="str">
        <x:v>BNZ imported to TradePilot</x:v>
      </x:c>
      <x:c r="N261" s="9" t="str">
        <x:v>See ledger</x:v>
      </x:c>
    </x:row>
    <x:row r="262">
      <x:c r="A262" s="10" t="n">
        <x:v>46160</x:v>
      </x:c>
      <x:c r="B262" s="11" t="n">
        <x:v>-191.99</x:v>
      </x:c>
      <x:c r="C262" s="9" t="str">
        <x:v>THE WAREHOUSE 212 WA</x:v>
      </x:c>
      <x:c r="D262" s="9" t="str">
        <x:v>5996</x:v>
      </x:c>
      <x:c r="E262" s="9" t="str">
        <x:v>WANAKA</x:v>
      </x:c>
      <x:c r="F262" s="9" t="str">
        <x:v>434667181148</x:v>
      </x:c>
      <x:c r="G262" s="9" t="str">
        <x:v>POS</x:v>
      </x:c>
      <x:c r="H262" s="9" t="str">
        <x:v>---</x:v>
      </x:c>
      <x:c r="I262" s="9" t="str">
        <x:v>matched</x:v>
      </x:c>
      <x:c r="J262" s="9" t="str">
        <x:v>Use matched TradePilot coding</x:v>
      </x:c>
      <x:c r="K262" s="9" t="str"/>
      <x:c r="L262" s="9" t="str">
        <x:v>og6sbm</x:v>
      </x:c>
      <x:c r="M262" s="9" t="str">
        <x:v>BNZ imported to TradePilot</x:v>
      </x:c>
      <x:c r="N262" s="9" t="str">
        <x:v>See ledger</x:v>
      </x:c>
    </x:row>
    <x:row r="263">
      <x:c r="A263" s="10" t="n">
        <x:v>46160</x:v>
      </x:c>
      <x:c r="B263" s="11" t="n">
        <x:v>-365.26</x:v>
      </x:c>
      <x:c r="C263" s="9" t="str">
        <x:v>Dulux</x:v>
      </x:c>
      <x:c r="D263" s="9" t="str"/>
      <x:c r="E263" s="9" t="str"/>
      <x:c r="F263" s="9" t="str"/>
      <x:c r="G263" s="9" t="str">
        <x:v>BP</x:v>
      </x:c>
      <x:c r="H263" s="9" t="str">
        <x:v>03-0502-0287662-00</x:v>
      </x:c>
      <x:c r="I263" s="9" t="str">
        <x:v>matched</x:v>
      </x:c>
      <x:c r="J263" s="9" t="str">
        <x:v>Use matched TradePilot coding</x:v>
      </x:c>
      <x:c r="K263" s="9" t="str"/>
      <x:c r="L263" s="9" t="str">
        <x:v>uvsuuy</x:v>
      </x:c>
      <x:c r="M263" s="9" t="str">
        <x:v>BNZ imported to TradePilot</x:v>
      </x:c>
      <x:c r="N263" s="9" t="str">
        <x:v>See ledger</x:v>
      </x:c>
    </x:row>
    <x:row r="264">
      <x:c r="A264" s="10" t="n">
        <x:v>46160</x:v>
      </x:c>
      <x:c r="B264" s="11" t="n">
        <x:v>-116.2</x:v>
      </x:c>
      <x:c r="C264" s="9" t="str">
        <x:v>RS TRADE CENTRE</x:v>
      </x:c>
      <x:c r="D264" s="9" t="str">
        <x:v>5996</x:v>
      </x:c>
      <x:c r="E264" s="9" t="str">
        <x:v>CHRISTCHURCH</x:v>
      </x:c>
      <x:c r="F264" s="9" t="str">
        <x:v>434667181034</x:v>
      </x:c>
      <x:c r="G264" s="9" t="str">
        <x:v>POS</x:v>
      </x:c>
      <x:c r="H264" s="9" t="str">
        <x:v>---</x:v>
      </x:c>
      <x:c r="I264" s="9" t="str">
        <x:v>matched</x:v>
      </x:c>
      <x:c r="J264" s="9" t="str">
        <x:v>Use matched TradePilot coding</x:v>
      </x:c>
      <x:c r="K264" s="9" t="str"/>
      <x:c r="L264" s="9" t="str">
        <x:v>ul5jku</x:v>
      </x:c>
      <x:c r="M264" s="9" t="str">
        <x:v>BNZ imported to TradePilot</x:v>
      </x:c>
      <x:c r="N264" s="9" t="str">
        <x:v>See ledger</x:v>
      </x:c>
    </x:row>
    <x:row r="265">
      <x:c r="A265" s="10" t="n">
        <x:v>46161</x:v>
      </x:c>
      <x:c r="B265" s="11" t="n">
        <x:v>-1000</x:v>
      </x:c>
      <x:c r="C265" s="9" t="str">
        <x:v>YouMoney</x:v>
      </x:c>
      <x:c r="D265" s="9" t="str"/>
      <x:c r="E265" s="9" t="str"/>
      <x:c r="F265" s="9" t="str">
        <x:v>INTERNET XFR</x:v>
      </x:c>
      <x:c r="G265" s="9" t="str">
        <x:v>FT</x:v>
      </x:c>
      <x:c r="H265" s="9" t="str">
        <x:v>02-0568-0080488-83</x:v>
      </x:c>
      <x:c r="I265" s="9" t="str">
        <x:v>ignored</x:v>
      </x:c>
      <x:c r="J265" s="9" t="str">
        <x:v>Excluded: ignored</x:v>
      </x:c>
      <x:c r="K265" s="9" t="str"/>
      <x:c r="L265" s="9" t="str">
        <x:v>sbqcim</x:v>
      </x:c>
      <x:c r="M265" s="9" t="str">
        <x:v>BNZ imported to TradePilot</x:v>
      </x:c>
      <x:c r="N265" s="9" t="str">
        <x:v>No</x:v>
      </x:c>
    </x:row>
    <x:row r="266">
      <x:c r="A266" s="10" t="n">
        <x:v>46162</x:v>
      </x:c>
      <x:c r="B266" s="11" t="n">
        <x:v>-500</x:v>
      </x:c>
      <x:c r="C266" s="9" t="str">
        <x:v>Taxes</x:v>
      </x:c>
      <x:c r="D266" s="9" t="str"/>
      <x:c r="E266" s="9" t="str"/>
      <x:c r="F266" s="9" t="str">
        <x:v>INTERNET XFR</x:v>
      </x:c>
      <x:c r="G266" s="9" t="str">
        <x:v>FT</x:v>
      </x:c>
      <x:c r="H266" s="9" t="str">
        <x:v>02-0568-0080488-09</x:v>
      </x:c>
      <x:c r="I266" s="9" t="str">
        <x:v>ignored</x:v>
      </x:c>
      <x:c r="J266" s="9" t="str">
        <x:v>Excluded: ignored</x:v>
      </x:c>
      <x:c r="K266" s="9" t="str"/>
      <x:c r="L266" s="9" t="str">
        <x:v>ee3x1q</x:v>
      </x:c>
      <x:c r="M266" s="9" t="str">
        <x:v>BNZ imported to TradePilot</x:v>
      </x:c>
      <x:c r="N266" s="9" t="str">
        <x:v>No</x:v>
      </x:c>
    </x:row>
    <x:row r="267">
      <x:c r="A267" s="10" t="n">
        <x:v>46162</x:v>
      </x:c>
      <x:c r="B267" s="11" t="n">
        <x:v>-106.2</x:v>
      </x:c>
      <x:c r="C267" s="9" t="str">
        <x:v>MITRE 10 MEGA WANAKA</x:v>
      </x:c>
      <x:c r="D267" s="9" t="str">
        <x:v>5996</x:v>
      </x:c>
      <x:c r="E267" s="9" t="str">
        <x:v>WANAKA</x:v>
      </x:c>
      <x:c r="F267" s="9" t="str">
        <x:v>434667201238</x:v>
      </x:c>
      <x:c r="G267" s="9" t="str">
        <x:v>POS</x:v>
      </x:c>
      <x:c r="H267" s="9" t="str">
        <x:v>---</x:v>
      </x:c>
      <x:c r="I267" s="9" t="str">
        <x:v>matched</x:v>
      </x:c>
      <x:c r="J267" s="9" t="str">
        <x:v>Use matched TradePilot coding</x:v>
      </x:c>
      <x:c r="K267" s="9" t="str"/>
      <x:c r="L267" s="9" t="str">
        <x:v>493qoi</x:v>
      </x:c>
      <x:c r="M267" s="9" t="str">
        <x:v>BNZ imported to TradePilot</x:v>
      </x:c>
      <x:c r="N267" s="9" t="str">
        <x:v>See ledger</x:v>
      </x:c>
    </x:row>
    <x:row r="268">
      <x:c r="A268" s="10" t="n">
        <x:v>46162</x:v>
      </x:c>
      <x:c r="B268" s="11" t="n">
        <x:v>-100.97</x:v>
      </x:c>
      <x:c r="C268" s="9" t="str">
        <x:v>BP CONNECT WANAKA</x:v>
      </x:c>
      <x:c r="D268" s="9" t="str">
        <x:v>5996</x:v>
      </x:c>
      <x:c r="E268" s="9" t="str">
        <x:v>WANAKA</x:v>
      </x:c>
      <x:c r="F268" s="9" t="str">
        <x:v>492102201636</x:v>
      </x:c>
      <x:c r="G268" s="9" t="str">
        <x:v>POS</x:v>
      </x:c>
      <x:c r="H268" s="9" t="str">
        <x:v>---</x:v>
      </x:c>
      <x:c r="I268" s="9" t="str">
        <x:v>matched</x:v>
      </x:c>
      <x:c r="J268" s="9" t="str">
        <x:v>Use matched TradePilot coding</x:v>
      </x:c>
      <x:c r="K268" s="9" t="str"/>
      <x:c r="L268" s="9" t="str">
        <x:v>phdtec</x:v>
      </x:c>
      <x:c r="M268" s="9" t="str">
        <x:v>BNZ imported to TradePilot</x:v>
      </x:c>
      <x:c r="N268" s="9" t="str">
        <x:v>See ledger</x:v>
      </x:c>
    </x:row>
    <x:row r="269">
      <x:c r="A269" s="10" t="n">
        <x:v>46162</x:v>
      </x:c>
      <x:c r="B269" s="11" t="n">
        <x:v>-510.26</x:v>
      </x:c>
      <x:c r="C269" s="9" t="str">
        <x:v>PUKKA LIMITED</x:v>
      </x:c>
      <x:c r="D269" s="9" t="str">
        <x:v>5996</x:v>
      </x:c>
      <x:c r="E269" s="9" t="str">
        <x:v>WANAKA</x:v>
      </x:c>
      <x:c r="F269" s="9" t="str">
        <x:v>492102201635</x:v>
      </x:c>
      <x:c r="G269" s="9" t="str">
        <x:v>POS</x:v>
      </x:c>
      <x:c r="H269" s="9" t="str">
        <x:v>---</x:v>
      </x:c>
      <x:c r="I269" s="9" t="str">
        <x:v>matched</x:v>
      </x:c>
      <x:c r="J269" s="9" t="str">
        <x:v>Use matched TradePilot coding</x:v>
      </x:c>
      <x:c r="K269" s="9" t="str"/>
      <x:c r="L269" s="9" t="str">
        <x:v>p2otx9</x:v>
      </x:c>
      <x:c r="M269" s="9" t="str">
        <x:v>BNZ imported to TradePilot</x:v>
      </x:c>
      <x:c r="N269" s="9" t="str">
        <x:v>See ledger</x:v>
      </x:c>
    </x:row>
    <x:row r="270">
      <x:c r="A270" s="10" t="n">
        <x:v>46162</x:v>
      </x:c>
      <x:c r="B270" s="11" t="n">
        <x:v>450</x:v>
      </x:c>
      <x:c r="C270" s="9" t="str">
        <x:v>CREONTE TAHUNA</x:v>
      </x:c>
      <x:c r="D270" s="9" t="str">
        <x:v>Creonte</x:v>
      </x:c>
      <x:c r="E270" s="9" t="str">
        <x:v>Tahuna</x:v>
      </x:c>
      <x:c r="F270" s="9" t="str">
        <x:v>May 26</x:v>
      </x:c>
      <x:c r="G270" s="9" t="str">
        <x:v>BP</x:v>
      </x:c>
      <x:c r="H270" s="9" t="str">
        <x:v>02-0673-0177943-00</x:v>
      </x:c>
      <x:c r="I270" s="9" t="str">
        <x:v>personal</x:v>
      </x:c>
      <x:c r="J270" s="9" t="str">
        <x:v>Excluded: personal</x:v>
      </x:c>
      <x:c r="K270" s="9" t="str"/>
      <x:c r="L270" s="9" t="str">
        <x:v>wv0ckp</x:v>
      </x:c>
      <x:c r="M270" s="9" t="str">
        <x:v>BNZ imported to TradePilot</x:v>
      </x:c>
      <x:c r="N270" s="9" t="str">
        <x:v>No</x:v>
      </x:c>
    </x:row>
    <x:row r="271">
      <x:c r="A271" s="10" t="n">
        <x:v>46163</x:v>
      </x:c>
      <x:c r="B271" s="11" t="n">
        <x:v>-4.99</x:v>
      </x:c>
      <x:c r="C271" s="9" t="str">
        <x:v>SUPPORT LOCAL</x:v>
      </x:c>
      <x:c r="D271" s="9" t="str">
        <x:v>5996</x:v>
      </x:c>
      <x:c r="E271" s="9" t="str">
        <x:v>AUCKLAND</x:v>
      </x:c>
      <x:c r="F271" s="9" t="str">
        <x:v>448131211701</x:v>
      </x:c>
      <x:c r="G271" s="9" t="str">
        <x:v>POS</x:v>
      </x:c>
      <x:c r="H271" s="9" t="str">
        <x:v>---</x:v>
      </x:c>
      <x:c r="I271" s="9" t="str">
        <x:v>personal</x:v>
      </x:c>
      <x:c r="J271" s="9" t="str">
        <x:v>Excluded: personal</x:v>
      </x:c>
      <x:c r="K271" s="9" t="str"/>
      <x:c r="L271" s="9" t="str">
        <x:v>lldm14</x:v>
      </x:c>
      <x:c r="M271" s="9" t="str">
        <x:v>BNZ imported to TradePilot</x:v>
      </x:c>
      <x:c r="N271" s="9" t="str">
        <x:v>No</x:v>
      </x:c>
    </x:row>
    <x:row r="272">
      <x:c r="A272" s="10" t="n">
        <x:v>46164</x:v>
      </x:c>
      <x:c r="B272" s="11" t="n">
        <x:v>-45</x:v>
      </x:c>
      <x:c r="C272" s="9" t="str">
        <x:v>Savings</x:v>
      </x:c>
      <x:c r="D272" s="9" t="str"/>
      <x:c r="E272" s="9" t="str"/>
      <x:c r="F272" s="9" t="str">
        <x:v>INTERNET XFR</x:v>
      </x:c>
      <x:c r="G272" s="9" t="str">
        <x:v>FT</x:v>
      </x:c>
      <x:c r="H272" s="9" t="str">
        <x:v>02-0568-0080488-10</x:v>
      </x:c>
      <x:c r="I272" s="9" t="str">
        <x:v>ignored</x:v>
      </x:c>
      <x:c r="J272" s="9" t="str">
        <x:v>Excluded: ignored</x:v>
      </x:c>
      <x:c r="K272" s="9" t="str"/>
      <x:c r="L272" s="9" t="str">
        <x:v>bv59ru</x:v>
      </x:c>
      <x:c r="M272" s="9" t="str">
        <x:v>BNZ imported to TradePilot</x:v>
      </x:c>
      <x:c r="N272" s="9" t="str">
        <x:v>No</x:v>
      </x:c>
    </x:row>
    <x:row r="273">
      <x:c r="A273" s="10" t="n">
        <x:v>46164</x:v>
      </x:c>
      <x:c r="B273" s="11" t="n">
        <x:v>-11.11</x:v>
      </x:c>
      <x:c r="C273" s="9" t="str">
        <x:v>On the Spot Northlak</x:v>
      </x:c>
      <x:c r="D273" s="9" t="str">
        <x:v>5996</x:v>
      </x:c>
      <x:c r="E273" s="9" t="str">
        <x:v>Wanaka</x:v>
      </x:c>
      <x:c r="F273" s="9" t="str">
        <x:v>420549221306</x:v>
      </x:c>
      <x:c r="G273" s="9" t="str">
        <x:v>POS</x:v>
      </x:c>
      <x:c r="H273" s="9" t="str">
        <x:v>---</x:v>
      </x:c>
      <x:c r="I273" s="9" t="str">
        <x:v>personal</x:v>
      </x:c>
      <x:c r="J273" s="9" t="str">
        <x:v>Excluded: personal</x:v>
      </x:c>
      <x:c r="K273" s="9" t="str"/>
      <x:c r="L273" s="9" t="str">
        <x:v>h727xx</x:v>
      </x:c>
      <x:c r="M273" s="9" t="str">
        <x:v>BNZ imported to TradePilot</x:v>
      </x:c>
      <x:c r="N273" s="9" t="str">
        <x:v>No</x:v>
      </x:c>
    </x:row>
    <x:row r="274">
      <x:c r="A274" s="10" t="n">
        <x:v>46167</x:v>
      </x:c>
      <x:c r="B274" s="11" t="n">
        <x:v>-117.3</x:v>
      </x:c>
      <x:c r="C274" s="9" t="str">
        <x:v>CYAN LION</x:v>
      </x:c>
      <x:c r="D274" s="9" t="str">
        <x:v>5996</x:v>
      </x:c>
      <x:c r="E274" s="9" t="str">
        <x:v>WANAKA</x:v>
      </x:c>
      <x:c r="F274" s="9" t="str">
        <x:v>492102250943</x:v>
      </x:c>
      <x:c r="G274" s="9" t="str">
        <x:v>POS</x:v>
      </x:c>
      <x:c r="H274" s="9" t="str">
        <x:v>---</x:v>
      </x:c>
      <x:c r="I274" s="9" t="str">
        <x:v>matched</x:v>
      </x:c>
      <x:c r="J274" s="9" t="str">
        <x:v>Use matched TradePilot coding</x:v>
      </x:c>
      <x:c r="K274" s="9" t="str"/>
      <x:c r="L274" s="9" t="str">
        <x:v>bjx03j</x:v>
      </x:c>
      <x:c r="M274" s="9" t="str">
        <x:v>BNZ imported to TradePilot</x:v>
      </x:c>
      <x:c r="N274" s="9" t="str">
        <x:v>See ledger</x:v>
      </x:c>
    </x:row>
    <x:row r="275">
      <x:c r="A275" s="10" t="n">
        <x:v>46167</x:v>
      </x:c>
      <x:c r="B275" s="11" t="n">
        <x:v>-400</x:v>
      </x:c>
      <x:c r="C275" s="9" t="str">
        <x:v>YouMoney</x:v>
      </x:c>
      <x:c r="D275" s="9" t="str"/>
      <x:c r="E275" s="9" t="str"/>
      <x:c r="F275" s="9" t="str">
        <x:v>INTERNET XFR</x:v>
      </x:c>
      <x:c r="G275" s="9" t="str">
        <x:v>FT</x:v>
      </x:c>
      <x:c r="H275" s="9" t="str">
        <x:v>02-0568-0080488-83</x:v>
      </x:c>
      <x:c r="I275" s="9" t="str">
        <x:v>ignored</x:v>
      </x:c>
      <x:c r="J275" s="9" t="str">
        <x:v>Excluded: ignored</x:v>
      </x:c>
      <x:c r="K275" s="9" t="str"/>
      <x:c r="L275" s="9" t="str">
        <x:v>r3aw5q</x:v>
      </x:c>
      <x:c r="M275" s="9" t="str">
        <x:v>BNZ imported to TradePilot</x:v>
      </x:c>
      <x:c r="N275" s="9" t="str">
        <x:v>No</x:v>
      </x:c>
    </x:row>
    <x:row r="276">
      <x:c r="A276" s="10" t="n">
        <x:v>46169</x:v>
      </x:c>
      <x:c r="B276" s="11" t="n">
        <x:v>1794</x:v>
      </x:c>
      <x:c r="C276" s="9" t="str">
        <x:v>THE CENTRAL L</x:v>
      </x:c>
      <x:c r="D276" s="9" t="str">
        <x:v>C L E C</x:v>
      </x:c>
      <x:c r="E276" s="9" t="str">
        <x:v>Painting</x:v>
      </x:c>
      <x:c r="F276" s="9" t="str">
        <x:v>Deposit</x:v>
      </x:c>
      <x:c r="G276" s="9" t="str">
        <x:v>BP</x:v>
      </x:c>
      <x:c r="H276" s="9" t="str">
        <x:v>06-0921-0069387-00</x:v>
      </x:c>
      <x:c r="I276" s="9" t="str">
        <x:v>matched</x:v>
      </x:c>
      <x:c r="J276" s="9" t="str">
        <x:v>Use matched TradePilot coding</x:v>
      </x:c>
      <x:c r="K276" s="9" t="str"/>
      <x:c r="L276" s="9" t="str">
        <x:v>ggx3ld</x:v>
      </x:c>
      <x:c r="M276" s="9" t="str">
        <x:v>BNZ imported to TradePilot</x:v>
      </x:c>
      <x:c r="N276" s="9" t="str">
        <x:v>See ledger</x:v>
      </x:c>
    </x:row>
    <x:row r="277">
      <x:c r="A277" s="10" t="n">
        <x:v>46171</x:v>
      </x:c>
      <x:c r="B277" s="11" t="n">
        <x:v>-238.93</x:v>
      </x:c>
      <x:c r="C277" s="9" t="str">
        <x:v>MITRE 10 CROMWELL</x:v>
      </x:c>
      <x:c r="D277" s="9" t="str">
        <x:v>5996</x:v>
      </x:c>
      <x:c r="E277" s="9" t="str">
        <x:v>CROMWELL</x:v>
      </x:c>
      <x:c r="F277" s="9" t="str">
        <x:v>434667291311</x:v>
      </x:c>
      <x:c r="G277" s="9" t="str">
        <x:v>POS</x:v>
      </x:c>
      <x:c r="H277" s="9" t="str">
        <x:v>---</x:v>
      </x:c>
      <x:c r="I277" s="9" t="str">
        <x:v>matched</x:v>
      </x:c>
      <x:c r="J277" s="9" t="str">
        <x:v>Use matched TradePilot coding</x:v>
      </x:c>
      <x:c r="K277" s="9" t="str"/>
      <x:c r="L277" s="9" t="str">
        <x:v>tdw2e8</x:v>
      </x:c>
      <x:c r="M277" s="9" t="str">
        <x:v>BNZ imported to TradePilot</x:v>
      </x:c>
      <x:c r="N277" s="9" t="str">
        <x:v>See ledger</x:v>
      </x:c>
    </x:row>
    <x:row r="278">
      <x:c r="A278" s="10" t="n">
        <x:v>46172</x:v>
      </x:c>
      <x:c r="B278" s="11" t="n">
        <x:v>-29.17</x:v>
      </x:c>
      <x:c r="C278" s="9" t="str">
        <x:v>MITRE 10 MEGA WANAKA</x:v>
      </x:c>
      <x:c r="D278" s="9" t="str">
        <x:v>5996</x:v>
      </x:c>
      <x:c r="E278" s="9" t="str">
        <x:v>WANAKA</x:v>
      </x:c>
      <x:c r="F278" s="9" t="str">
        <x:v>434667300728</x:v>
      </x:c>
      <x:c r="G278" s="9" t="str">
        <x:v>POS</x:v>
      </x:c>
      <x:c r="H278" s="9" t="str">
        <x:v>---</x:v>
      </x:c>
      <x:c r="I278" s="9" t="str">
        <x:v>matched</x:v>
      </x:c>
      <x:c r="J278" s="9" t="str">
        <x:v>Use matched TradePilot coding</x:v>
      </x:c>
      <x:c r="K278" s="9" t="str"/>
      <x:c r="L278" s="9" t="str">
        <x:v>p2io4z</x:v>
      </x:c>
      <x:c r="M278" s="9" t="str">
        <x:v>BNZ imported to TradePilot</x:v>
      </x:c>
      <x:c r="N278" s="9" t="str">
        <x:v>See ledger</x:v>
      </x:c>
    </x:row>
    <x:row r="279">
      <x:c r="A279" s="10" t="n">
        <x:v>46172</x:v>
      </x:c>
      <x:c r="B279" s="11" t="n">
        <x:v>-200</x:v>
      </x:c>
      <x:c r="C279" s="9" t="str">
        <x:v>CLAUDE.AI SUBSCRIPTI</x:v>
      </x:c>
      <x:c r="D279" s="9" t="str">
        <x:v>5996</x:v>
      </x:c>
      <x:c r="E279" s="9" t="str">
        <x:v>ANTHROPIC.CO</x:v>
      </x:c>
      <x:c r="F279" s="9" t="str">
        <x:v>401134300646</x:v>
      </x:c>
      <x:c r="G279" s="9" t="str">
        <x:v>POS</x:v>
      </x:c>
      <x:c r="H279" s="9" t="str">
        <x:v>---</x:v>
      </x:c>
      <x:c r="I279" s="9" t="str">
        <x:v>matched</x:v>
      </x:c>
      <x:c r="J279" s="9" t="str">
        <x:v>Use matched TradePilot coding</x:v>
      </x:c>
      <x:c r="K279" s="9" t="str"/>
      <x:c r="L279" s="9" t="str">
        <x:v>ap7ljt</x:v>
      </x:c>
      <x:c r="M279" s="9" t="str">
        <x:v>BNZ imported to TradePilot</x:v>
      </x:c>
      <x:c r="N279" s="9" t="str">
        <x:v>See ledger</x:v>
      </x:c>
    </x:row>
    <x:row r="280">
      <x:c r="A280" s="10" t="n">
        <x:v>46173</x:v>
      </x:c>
      <x:c r="B280" s="11" t="n">
        <x:v>-156.18</x:v>
      </x:c>
      <x:c r="C280" s="9" t="str">
        <x:v>BP 2GO CROMWELL</x:v>
      </x:c>
      <x:c r="D280" s="9" t="str">
        <x:v>5996</x:v>
      </x:c>
      <x:c r="E280" s="9" t="str">
        <x:v>CROMWELL</x:v>
      </x:c>
      <x:c r="F280" s="9" t="str">
        <x:v>492102311459</x:v>
      </x:c>
      <x:c r="G280" s="9" t="str">
        <x:v>POS</x:v>
      </x:c>
      <x:c r="H280" s="9" t="str">
        <x:v>---</x:v>
      </x:c>
      <x:c r="I280" s="9" t="str">
        <x:v>matched</x:v>
      </x:c>
      <x:c r="J280" s="9" t="str">
        <x:v>Use matched TradePilot coding</x:v>
      </x:c>
      <x:c r="K280" s="9" t="str"/>
      <x:c r="L280" s="9" t="str">
        <x:v>y515l</x:v>
      </x:c>
      <x:c r="M280" s="9" t="str">
        <x:v>BNZ imported to TradePilot</x:v>
      </x:c>
      <x:c r="N280" s="9" t="str">
        <x:v>See ledger</x:v>
      </x:c>
    </x:row>
    <x:row r="281">
      <x:c r="A281" s="10" t="n">
        <x:v>46173</x:v>
      </x:c>
      <x:c r="B281" s="11" t="n">
        <x:v>-200</x:v>
      </x:c>
      <x:c r="C281" s="9" t="str">
        <x:v>Savings</x:v>
      </x:c>
      <x:c r="D281" s="9" t="str"/>
      <x:c r="E281" s="9" t="str"/>
      <x:c r="F281" s="9" t="str">
        <x:v>INTERNET XFR</x:v>
      </x:c>
      <x:c r="G281" s="9" t="str">
        <x:v>FT</x:v>
      </x:c>
      <x:c r="H281" s="9" t="str">
        <x:v>02-0568-0080488-10</x:v>
      </x:c>
      <x:c r="I281" s="9" t="str">
        <x:v>ignored</x:v>
      </x:c>
      <x:c r="J281" s="9" t="str">
        <x:v>Excluded: ignored</x:v>
      </x:c>
      <x:c r="K281" s="9" t="str"/>
      <x:c r="L281" s="9" t="str">
        <x:v>ba5mrh</x:v>
      </x:c>
      <x:c r="M281" s="9" t="str">
        <x:v>BNZ imported to TradePilot</x:v>
      </x:c>
      <x:c r="N281" s="9" t="str">
        <x:v>No</x:v>
      </x:c>
    </x:row>
    <x:row r="282">
      <x:c r="A282" s="10" t="n">
        <x:v>46173</x:v>
      </x:c>
      <x:c r="B282" s="11" t="n">
        <x:v>-33.54</x:v>
      </x:c>
      <x:c r="C282" s="9" t="str">
        <x:v>MITRE 10 CROMWELL</x:v>
      </x:c>
      <x:c r="D282" s="9" t="str">
        <x:v>5996</x:v>
      </x:c>
      <x:c r="E282" s="9" t="str">
        <x:v>CROMWELL</x:v>
      </x:c>
      <x:c r="F282" s="9" t="str">
        <x:v>434667311212</x:v>
      </x:c>
      <x:c r="G282" s="9" t="str">
        <x:v>POS</x:v>
      </x:c>
      <x:c r="H282" s="9" t="str">
        <x:v>---</x:v>
      </x:c>
      <x:c r="I282" s="9" t="str">
        <x:v>matched</x:v>
      </x:c>
      <x:c r="J282" s="9" t="str">
        <x:v>Use matched TradePilot coding</x:v>
      </x:c>
      <x:c r="K282" s="9" t="str"/>
      <x:c r="L282" s="9" t="str">
        <x:v>net1k8</x:v>
      </x:c>
      <x:c r="M282" s="9" t="str">
        <x:v>BNZ imported to TradePilot</x:v>
      </x:c>
      <x:c r="N282" s="9" t="str">
        <x:v>See ledger</x:v>
      </x:c>
    </x:row>
    <x:row r="283">
      <x:c r="A283" s="10" t="n">
        <x:v>46174</x:v>
      </x:c>
      <x:c r="B283" s="11" t="n">
        <x:v>-18.11</x:v>
      </x:c>
      <x:c r="C283" s="9" t="str">
        <x:v>Google Workspace_lak</x:v>
      </x:c>
      <x:c r="D283" s="9" t="str">
        <x:v>5996</x:v>
      </x:c>
      <x:c r="E283" s="9" t="str">
        <x:v>Auckland</x:v>
      </x:c>
      <x:c r="F283" s="9" t="str">
        <x:v>453241011521</x:v>
      </x:c>
      <x:c r="G283" s="9" t="str">
        <x:v>POS</x:v>
      </x:c>
      <x:c r="H283" s="9" t="str">
        <x:v>---</x:v>
      </x:c>
      <x:c r="I283" s="9" t="str">
        <x:v>matched</x:v>
      </x:c>
      <x:c r="J283" s="9" t="str">
        <x:v>Use matched TradePilot coding</x:v>
      </x:c>
      <x:c r="K283" s="9" t="str"/>
      <x:c r="L283" s="9" t="str">
        <x:v>ixlom5</x:v>
      </x:c>
      <x:c r="M283" s="9" t="str">
        <x:v>BNZ imported to TradePilot</x:v>
      </x:c>
      <x:c r="N283" s="9" t="str">
        <x:v>See ledger</x:v>
      </x:c>
    </x:row>
    <x:row r="284">
      <x:c r="A284" s="10" t="n">
        <x:v>46174</x:v>
      </x:c>
      <x:c r="B284" s="11" t="n">
        <x:v>-159.9</x:v>
      </x:c>
      <x:c r="C284" s="9" t="str">
        <x:v>MITRE 10 CROMWELL</x:v>
      </x:c>
      <x:c r="D284" s="9" t="str">
        <x:v>5996</x:v>
      </x:c>
      <x:c r="E284" s="9" t="str">
        <x:v>CROMWELL</x:v>
      </x:c>
      <x:c r="F284" s="9" t="str">
        <x:v>434667011112</x:v>
      </x:c>
      <x:c r="G284" s="9" t="str">
        <x:v>POS</x:v>
      </x:c>
      <x:c r="H284" s="9" t="str">
        <x:v>---</x:v>
      </x:c>
      <x:c r="I284" s="9" t="str">
        <x:v>matched</x:v>
      </x:c>
      <x:c r="J284" s="9" t="str">
        <x:v>Use matched TradePilot coding</x:v>
      </x:c>
      <x:c r="K284" s="9" t="str"/>
      <x:c r="L284" s="9" t="str">
        <x:v>ue4ze3</x:v>
      </x:c>
      <x:c r="M284" s="9" t="str">
        <x:v>BNZ imported to TradePilot</x:v>
      </x:c>
      <x:c r="N284" s="9" t="str">
        <x:v>See ledger</x:v>
      </x:c>
    </x:row>
    <x:row r="285">
      <x:c r="A285" s="10" t="n">
        <x:v>46175</x:v>
      </x:c>
      <x:c r="B285" s="11" t="n">
        <x:v>-1000</x:v>
      </x:c>
      <x:c r="C285" s="9" t="str">
        <x:v>ANGELA HILL</x:v>
      </x:c>
      <x:c r="D285" s="9" t="str"/>
      <x:c r="E285" s="9" t="str"/>
      <x:c r="F285" s="9" t="str"/>
      <x:c r="G285" s="9" t="str">
        <x:v>DC</x:v>
      </x:c>
      <x:c r="H285" s="9" t="str">
        <x:v>01-0867-0786122-00</x:v>
      </x:c>
      <x:c r="I285" s="9" t="str">
        <x:v>matched</x:v>
      </x:c>
      <x:c r="J285" s="9" t="str">
        <x:v>Use matched TradePilot coding</x:v>
      </x:c>
      <x:c r="K285" s="9" t="str"/>
      <x:c r="L285" s="9" t="str">
        <x:v>ht7lxu</x:v>
      </x:c>
      <x:c r="M285" s="9" t="str">
        <x:v>BNZ imported to TradePilot</x:v>
      </x:c>
      <x:c r="N285" s="9" t="str">
        <x:v>See ledger</x:v>
      </x:c>
    </x:row>
    <x:row r="286">
      <x:c r="A286" s="10" t="n">
        <x:v>46176</x:v>
      </x:c>
      <x:c r="B286" s="11" t="n">
        <x:v>-177.22</x:v>
      </x:c>
      <x:c r="C286" s="9" t="str">
        <x:v>BP 2GO CROMWELL</x:v>
      </x:c>
      <x:c r="D286" s="9" t="str">
        <x:v>5996</x:v>
      </x:c>
      <x:c r="E286" s="9" t="str">
        <x:v>CROMWELL</x:v>
      </x:c>
      <x:c r="F286" s="9" t="str">
        <x:v>492102031514</x:v>
      </x:c>
      <x:c r="G286" s="9" t="str">
        <x:v>POS</x:v>
      </x:c>
      <x:c r="H286" s="9" t="str">
        <x:v>---</x:v>
      </x:c>
      <x:c r="I286" s="9" t="str">
        <x:v>matched</x:v>
      </x:c>
      <x:c r="J286" s="9" t="str">
        <x:v>Use matched TradePilot coding</x:v>
      </x:c>
      <x:c r="K286" s="9" t="str"/>
      <x:c r="L286" s="9" t="str">
        <x:v>sl5lxg</x:v>
      </x:c>
      <x:c r="M286" s="9" t="str">
        <x:v>BNZ imported to TradePilot</x:v>
      </x:c>
      <x:c r="N286" s="9" t="str">
        <x:v>See ledger</x:v>
      </x:c>
    </x:row>
    <x:row r="287">
      <x:c r="A287" s="10" t="n">
        <x:v>46176</x:v>
      </x:c>
      <x:c r="B287" s="11" t="n">
        <x:v>-85.5</x:v>
      </x:c>
      <x:c r="C287" s="9" t="str">
        <x:v>INTERCITYWEB</x:v>
      </x:c>
      <x:c r="D287" s="9" t="str">
        <x:v>5996</x:v>
      </x:c>
      <x:c r="E287" s="9" t="str">
        <x:v>AUCKLAND</x:v>
      </x:c>
      <x:c r="F287" s="9" t="str">
        <x:v>434667031052</x:v>
      </x:c>
      <x:c r="G287" s="9" t="str">
        <x:v>POS</x:v>
      </x:c>
      <x:c r="H287" s="9" t="str">
        <x:v>---</x:v>
      </x:c>
      <x:c r="I287" s="9" t="str">
        <x:v>matched</x:v>
      </x:c>
      <x:c r="J287" s="9" t="str">
        <x:v>Use matched TradePilot coding</x:v>
      </x:c>
      <x:c r="K287" s="9" t="str"/>
      <x:c r="L287" s="9" t="str">
        <x:v>domyky</x:v>
      </x:c>
      <x:c r="M287" s="9" t="str">
        <x:v>BNZ imported to TradePilot</x:v>
      </x:c>
      <x:c r="N287" s="9" t="str">
        <x:v>See ledger</x:v>
      </x:c>
    </x:row>
    <x:row r="288">
      <x:c r="A288" s="10" t="n">
        <x:v>46180</x:v>
      </x:c>
      <x:c r="B288" s="11" t="n">
        <x:v>-40.63</x:v>
      </x:c>
      <x:c r="C288" s="9" t="str">
        <x:v>OPENAI *CHATGPT SUBS</x:v>
      </x:c>
      <x:c r="D288" s="9" t="str">
        <x:v>5996</x:v>
      </x:c>
      <x:c r="E288" s="9" t="str">
        <x:v>OPENAI.COM</x:v>
      </x:c>
      <x:c r="F288" s="9" t="str">
        <x:v>449216071941</x:v>
      </x:c>
      <x:c r="G288" s="9" t="str">
        <x:v>POS</x:v>
      </x:c>
      <x:c r="H288" s="9" t="str">
        <x:v>---</x:v>
      </x:c>
      <x:c r="I288" s="9" t="str">
        <x:v>matched</x:v>
      </x:c>
      <x:c r="J288" s="9" t="str">
        <x:v>Use matched TradePilot coding</x:v>
      </x:c>
      <x:c r="K288" s="9" t="str"/>
      <x:c r="L288" s="9" t="str">
        <x:v>5cmp7b</x:v>
      </x:c>
      <x:c r="M288" s="9" t="str">
        <x:v>BNZ imported to TradePilot</x:v>
      </x:c>
      <x:c r="N288" s="9" t="str">
        <x:v>See ledger</x:v>
      </x:c>
    </x:row>
    <x:row r="289">
      <x:c r="A289" s="10" t="n">
        <x:v>46181</x:v>
      </x:c>
      <x:c r="B289" s="11" t="n">
        <x:v>-9000</x:v>
      </x:c>
      <x:c r="C289" s="9" t="str">
        <x:v>ANGELA HILL</x:v>
      </x:c>
      <x:c r="D289" s="9" t="str"/>
      <x:c r="E289" s="9" t="str"/>
      <x:c r="F289" s="9" t="str"/>
      <x:c r="G289" s="9" t="str">
        <x:v>DC</x:v>
      </x:c>
      <x:c r="H289" s="9" t="str">
        <x:v>01-0867-0786122-00</x:v>
      </x:c>
      <x:c r="I289" s="9" t="str">
        <x:v>matched</x:v>
      </x:c>
      <x:c r="J289" s="9" t="str">
        <x:v>Use matched TradePilot coding</x:v>
      </x:c>
      <x:c r="K289" s="9" t="str"/>
      <x:c r="L289" s="9" t="str">
        <x:v>9cgigs</x:v>
      </x:c>
      <x:c r="M289" s="9" t="str">
        <x:v>BNZ imported to TradePilot</x:v>
      </x:c>
      <x:c r="N289" s="9" t="str">
        <x:v>See ledger</x:v>
      </x:c>
    </x:row>
    <x:row r="290">
      <x:c r="A290" s="10" t="n">
        <x:v>46181</x:v>
      </x:c>
      <x:c r="B290" s="11" t="n">
        <x:v>9000</x:v>
      </x:c>
      <x:c r="C290" s="9" t="str">
        <x:v>YouMoney</x:v>
      </x:c>
      <x:c r="D290" s="9" t="str"/>
      <x:c r="E290" s="9" t="str"/>
      <x:c r="F290" s="9" t="str">
        <x:v>INTERNET XFR</x:v>
      </x:c>
      <x:c r="G290" s="9" t="str">
        <x:v>FT</x:v>
      </x:c>
      <x:c r="H290" s="9" t="str">
        <x:v>02-0568-0080488-83</x:v>
      </x:c>
      <x:c r="I290" s="9" t="str">
        <x:v>ignored</x:v>
      </x:c>
      <x:c r="J290" s="9" t="str">
        <x:v>Excluded: ignored</x:v>
      </x:c>
      <x:c r="K290" s="9" t="str"/>
      <x:c r="L290" s="9" t="str">
        <x:v>gd8usk</x:v>
      </x:c>
      <x:c r="M290" s="9" t="str">
        <x:v>BNZ imported to TradePilot</x:v>
      </x:c>
      <x:c r="N290" s="9" t="str">
        <x:v>No</x:v>
      </x:c>
    </x:row>
    <x:row r="291">
      <x:c r="A291" s="10" t="n">
        <x:v>46182</x:v>
      </x:c>
      <x:c r="B291" s="11" t="n">
        <x:v>4186</x:v>
      </x:c>
      <x:c r="C291" s="9" t="str">
        <x:v>THE CENTRAL L</x:v>
      </x:c>
      <x:c r="D291" s="9" t="str">
        <x:v>C L E C</x:v>
      </x:c>
      <x:c r="E291" s="9" t="str">
        <x:v>Painting</x:v>
      </x:c>
      <x:c r="F291" s="9" t="str">
        <x:v>QUO-034</x:v>
      </x:c>
      <x:c r="G291" s="9" t="str">
        <x:v>BP</x:v>
      </x:c>
      <x:c r="H291" s="9" t="str">
        <x:v>06-0921-0069387-00</x:v>
      </x:c>
      <x:c r="I291" s="9" t="str">
        <x:v>matched</x:v>
      </x:c>
      <x:c r="J291" s="9" t="str">
        <x:v>Use matched TradePilot coding</x:v>
      </x:c>
      <x:c r="K291" s="9" t="str"/>
      <x:c r="L291" s="9" t="str">
        <x:v>pork35</x:v>
      </x:c>
      <x:c r="M291" s="9" t="str">
        <x:v>BNZ imported to TradePilot</x:v>
      </x:c>
      <x:c r="N291" s="9" t="str">
        <x:v>See ledger</x:v>
      </x:c>
    </x:row>
    <x:row r="292">
      <x:c r="A292" s="10" t="n">
        <x:v>46184</x:v>
      </x:c>
      <x:c r="B292" s="11" t="n">
        <x:v>-28.99</x:v>
      </x:c>
      <x:c r="C292" s="9" t="str">
        <x:v>SPOTIFY</x:v>
      </x:c>
      <x:c r="D292" s="9" t="str">
        <x:v>5996</x:v>
      </x:c>
      <x:c r="E292" s="9" t="str">
        <x:v>STOCKHOLM</x:v>
      </x:c>
      <x:c r="F292" s="9" t="str">
        <x:v>414361111827</x:v>
      </x:c>
      <x:c r="G292" s="9" t="str">
        <x:v>POS</x:v>
      </x:c>
      <x:c r="H292" s="9" t="str">
        <x:v>---</x:v>
      </x:c>
      <x:c r="I292" s="9" t="str">
        <x:v>personal</x:v>
      </x:c>
      <x:c r="J292" s="9" t="str">
        <x:v>Excluded: personal</x:v>
      </x:c>
      <x:c r="K292" s="9" t="str"/>
      <x:c r="L292" s="9" t="str">
        <x:v>kcm88m</x:v>
      </x:c>
      <x:c r="M292" s="9" t="str">
        <x:v>BNZ imported to TradePilot</x:v>
      </x:c>
      <x:c r="N292" s="9" t="str">
        <x:v>No</x:v>
      </x:c>
    </x:row>
    <x:row r="293">
      <x:c r="A293" s="10" t="n">
        <x:v>46184</x:v>
      </x:c>
      <x:c r="B293" s="11" t="n">
        <x:v>-80.97</x:v>
      </x:c>
      <x:c r="C293" s="9" t="str">
        <x:v>BP CONNECT WANAKA</x:v>
      </x:c>
      <x:c r="D293" s="9" t="str">
        <x:v>5996</x:v>
      </x:c>
      <x:c r="E293" s="9" t="str">
        <x:v>WANAKA</x:v>
      </x:c>
      <x:c r="F293" s="9" t="str">
        <x:v>492102111431</x:v>
      </x:c>
      <x:c r="G293" s="9" t="str">
        <x:v>POS</x:v>
      </x:c>
      <x:c r="H293" s="9" t="str">
        <x:v>---</x:v>
      </x:c>
      <x:c r="I293" s="9" t="str">
        <x:v>matched</x:v>
      </x:c>
      <x:c r="J293" s="9" t="str">
        <x:v>Use matched TradePilot coding</x:v>
      </x:c>
      <x:c r="K293" s="9" t="str"/>
      <x:c r="L293" s="9" t="str">
        <x:v>kpk1vh</x:v>
      </x:c>
      <x:c r="M293" s="9" t="str">
        <x:v>BNZ imported to TradePilot</x:v>
      </x:c>
      <x:c r="N293" s="9" t="str">
        <x:v>See ledger</x:v>
      </x:c>
    </x:row>
    <x:row r="294">
      <x:c r="A294" s="10" t="n">
        <x:v>46184</x:v>
      </x:c>
      <x:c r="B294" s="11" t="n">
        <x:v>-47</x:v>
      </x:c>
      <x:c r="C294" s="9" t="str">
        <x:v>Wanaka Physiotherapy</x:v>
      </x:c>
      <x:c r="D294" s="9" t="str">
        <x:v>5996</x:v>
      </x:c>
      <x:c r="E294" s="9" t="str">
        <x:v>Wanaka</x:v>
      </x:c>
      <x:c r="F294" s="9" t="str">
        <x:v>420549111056</x:v>
      </x:c>
      <x:c r="G294" s="9" t="str">
        <x:v>POS</x:v>
      </x:c>
      <x:c r="H294" s="9" t="str">
        <x:v>---</x:v>
      </x:c>
      <x:c r="I294" s="9" t="str">
        <x:v>personal</x:v>
      </x:c>
      <x:c r="J294" s="9" t="str">
        <x:v>Excluded: personal</x:v>
      </x:c>
      <x:c r="K294" s="9" t="str"/>
      <x:c r="L294" s="9" t="str">
        <x:v>7znp4m</x:v>
      </x:c>
      <x:c r="M294" s="9" t="str">
        <x:v>BNZ imported to TradePilot</x:v>
      </x:c>
      <x:c r="N294" s="9" t="str">
        <x:v>No</x:v>
      </x:c>
    </x:row>
    <x:row r="295">
      <x:c r="A295" s="10" t="n">
        <x:v>46185</x:v>
      </x:c>
      <x:c r="B295" s="11" t="n">
        <x:v>-70.77</x:v>
      </x:c>
      <x:c r="C295" s="9" t="str">
        <x:v>AA INSURANCE</x:v>
      </x:c>
      <x:c r="D295" s="9" t="str">
        <x:v>5996</x:v>
      </x:c>
      <x:c r="E295" s="9" t="str">
        <x:v>AUCKLAND</x:v>
      </x:c>
      <x:c r="F295" s="9" t="str">
        <x:v>492102121453</x:v>
      </x:c>
      <x:c r="G295" s="9" t="str">
        <x:v>POS</x:v>
      </x:c>
      <x:c r="H295" s="9" t="str">
        <x:v>---</x:v>
      </x:c>
      <x:c r="I295" s="9" t="str">
        <x:v>matched</x:v>
      </x:c>
      <x:c r="J295" s="9" t="str">
        <x:v>Use matched TradePilot coding</x:v>
      </x:c>
      <x:c r="K295" s="9" t="str"/>
      <x:c r="L295" s="9" t="str">
        <x:v>pdkyxx</x:v>
      </x:c>
      <x:c r="M295" s="9" t="str">
        <x:v>BNZ imported to TradePilot</x:v>
      </x:c>
      <x:c r="N295" s="9" t="str">
        <x:v>See ledger</x:v>
      </x:c>
    </x:row>
    <x:row r="296">
      <x:c r="A296" s="10" t="n">
        <x:v>46187</x:v>
      </x:c>
      <x:c r="B296" s="11" t="n">
        <x:v>-500</x:v>
      </x:c>
      <x:c r="C296" s="9" t="str">
        <x:v>YouMoney</x:v>
      </x:c>
      <x:c r="D296" s="9" t="str"/>
      <x:c r="E296" s="9" t="str"/>
      <x:c r="F296" s="9" t="str">
        <x:v>INTERNET XFR</x:v>
      </x:c>
      <x:c r="G296" s="9" t="str">
        <x:v>FT</x:v>
      </x:c>
      <x:c r="H296" s="9" t="str">
        <x:v>02-0568-0080488-83</x:v>
      </x:c>
      <x:c r="I296" s="9" t="str">
        <x:v>ignored</x:v>
      </x:c>
      <x:c r="J296" s="9" t="str">
        <x:v>Excluded: ignored</x:v>
      </x:c>
      <x:c r="K296" s="9" t="str"/>
      <x:c r="L296" s="9" t="str">
        <x:v>gocgpe</x:v>
      </x:c>
      <x:c r="M296" s="9" t="str">
        <x:v>BNZ imported to TradePilot</x:v>
      </x:c>
      <x:c r="N296" s="9" t="str">
        <x:v>No</x:v>
      </x:c>
    </x:row>
    <x:row r="297">
      <x:c r="A297" s="10" t="n">
        <x:v>46188</x:v>
      </x:c>
      <x:c r="B297" s="11" t="n">
        <x:v>6081.49</x:v>
      </x:c>
      <x:c r="C297" s="9" t="str">
        <x:v>Home &amp; Co</x:v>
      </x:c>
      <x:c r="D297" s="9" t="str"/>
      <x:c r="E297" s="9" t="str"/>
      <x:c r="F297" s="9" t="str">
        <x:v>Lakesidepain</x:v>
      </x:c>
      <x:c r="G297" s="9" t="str">
        <x:v>DC</x:v>
      </x:c>
      <x:c r="H297" s="9" t="str">
        <x:v>02-0673-0130563-01</x:v>
      </x:c>
      <x:c r="I297" s="9" t="str">
        <x:v>matched</x:v>
      </x:c>
      <x:c r="J297" s="9" t="str">
        <x:v>Use matched TradePilot coding</x:v>
      </x:c>
      <x:c r="K297" s="9" t="str"/>
      <x:c r="L297" s="9" t="str">
        <x:v>69img6</x:v>
      </x:c>
      <x:c r="M297" s="9" t="str">
        <x:v>BNZ imported to TradePilot</x:v>
      </x:c>
      <x:c r="N297" s="9" t="str">
        <x:v>See ledger</x:v>
      </x:c>
    </x:row>
    <x:row r="298">
      <x:c r="A298" s="10" t="n">
        <x:v>46188</x:v>
      </x:c>
      <x:c r="B298" s="11" t="n">
        <x:v>-193.73</x:v>
      </x:c>
      <x:c r="C298" s="9" t="str">
        <x:v>ONE NZ</x:v>
      </x:c>
      <x:c r="D298" s="9" t="str">
        <x:v>5996</x:v>
      </x:c>
      <x:c r="E298" s="9" t="str">
        <x:v>AUCKLAND</x:v>
      </x:c>
      <x:c r="F298" s="9" t="str">
        <x:v>432129151053</x:v>
      </x:c>
      <x:c r="G298" s="9" t="str">
        <x:v>POS</x:v>
      </x:c>
      <x:c r="H298" s="9" t="str">
        <x:v>---</x:v>
      </x:c>
      <x:c r="I298" s="9" t="str">
        <x:v>matched</x:v>
      </x:c>
      <x:c r="J298" s="9" t="str">
        <x:v>Use matched TradePilot coding</x:v>
      </x:c>
      <x:c r="K298" s="9" t="str"/>
      <x:c r="L298" s="9" t="str">
        <x:v>xo09e6</x:v>
      </x:c>
      <x:c r="M298" s="9" t="str">
        <x:v>BNZ imported to TradePilot</x:v>
      </x:c>
      <x:c r="N298" s="9" t="str">
        <x:v>See ledger</x:v>
      </x:c>
    </x:row>
    <x:row r="299">
      <x:c r="A299" s="10" t="n">
        <x:v>46189</x:v>
      </x:c>
      <x:c r="B299" s="11" t="n">
        <x:v>-4000</x:v>
      </x:c>
      <x:c r="C299" s="9" t="str">
        <x:v>Savings</x:v>
      </x:c>
      <x:c r="D299" s="9" t="str"/>
      <x:c r="E299" s="9" t="str"/>
      <x:c r="F299" s="9" t="str">
        <x:v>INTERNET XFR</x:v>
      </x:c>
      <x:c r="G299" s="9" t="str">
        <x:v>FT</x:v>
      </x:c>
      <x:c r="H299" s="9" t="str">
        <x:v>02-0568-0080488-10</x:v>
      </x:c>
      <x:c r="I299" s="9" t="str">
        <x:v>ignored</x:v>
      </x:c>
      <x:c r="J299" s="9" t="str">
        <x:v>Excluded: ignored</x:v>
      </x:c>
      <x:c r="K299" s="9" t="str"/>
      <x:c r="L299" s="9" t="str">
        <x:v>ona41z</x:v>
      </x:c>
      <x:c r="M299" s="9" t="str">
        <x:v>BNZ imported to TradePilot</x:v>
      </x:c>
      <x:c r="N299" s="9" t="str">
        <x:v>No</x:v>
      </x:c>
    </x:row>
    <x:row r="300">
      <x:c r="A300" s="10" t="n">
        <x:v>46189</x:v>
      </x:c>
      <x:c r="B300" s="11" t="n">
        <x:v>-356.29</x:v>
      </x:c>
      <x:c r="C300" s="9" t="str">
        <x:v>Wanaka Auto Repairs</x:v>
      </x:c>
      <x:c r="D300" s="9" t="str">
        <x:v>554447505996</x:v>
      </x:c>
      <x:c r="E300" s="9" t="str">
        <x:v>Wanaka</x:v>
      </x:c>
      <x:c r="F300" s="9" t="str">
        <x:v>0499160803</x:v>
      </x:c>
      <x:c r="G300" s="9" t="str">
        <x:v>POS</x:v>
      </x:c>
      <x:c r="H300" s="9" t="str">
        <x:v>---</x:v>
      </x:c>
      <x:c r="I300" s="9" t="str">
        <x:v>matched</x:v>
      </x:c>
      <x:c r="J300" s="9" t="str">
        <x:v>Use matched TradePilot coding</x:v>
      </x:c>
      <x:c r="K300" s="9" t="str"/>
      <x:c r="L300" s="9" t="str">
        <x:v>3sggtp</x:v>
      </x:c>
      <x:c r="M300" s="9" t="str">
        <x:v>BNZ imported to TradePilot</x:v>
      </x:c>
      <x:c r="N300" s="9" t="str">
        <x:v>See ledger</x:v>
      </x:c>
    </x:row>
    <x:row r="301">
      <x:c r="A301" s="10" t="n">
        <x:v>46190</x:v>
      </x:c>
      <x:c r="B301" s="11" t="n">
        <x:v>-45</x:v>
      </x:c>
      <x:c r="C301" s="9" t="str">
        <x:v>WASTE MANAGEMENT</x:v>
      </x:c>
      <x:c r="D301" s="9" t="str">
        <x:v>5996</x:v>
      </x:c>
      <x:c r="E301" s="9" t="str">
        <x:v>WANAKA</x:v>
      </x:c>
      <x:c r="F301" s="9" t="str">
        <x:v>492102171322</x:v>
      </x:c>
      <x:c r="G301" s="9" t="str">
        <x:v>POS</x:v>
      </x:c>
      <x:c r="H301" s="9" t="str">
        <x:v>---</x:v>
      </x:c>
      <x:c r="I301" s="9" t="str">
        <x:v>matched</x:v>
      </x:c>
      <x:c r="J301" s="9" t="str">
        <x:v>Use matched TradePilot coding</x:v>
      </x:c>
      <x:c r="K301" s="9" t="str"/>
      <x:c r="L301" s="9" t="str">
        <x:v>dfopez</x:v>
      </x:c>
      <x:c r="M301" s="9" t="str">
        <x:v>BNZ imported to TradePilot</x:v>
      </x:c>
      <x:c r="N301" s="9" t="str">
        <x:v>See ledger</x:v>
      </x:c>
    </x:row>
    <x:row r="302">
      <x:c r="A302" s="10" t="n">
        <x:v>46190</x:v>
      </x:c>
      <x:c r="B302" s="11" t="n">
        <x:v>-100</x:v>
      </x:c>
      <x:c r="C302" s="9" t="str">
        <x:v>Savings</x:v>
      </x:c>
      <x:c r="D302" s="9" t="str"/>
      <x:c r="E302" s="9" t="str"/>
      <x:c r="F302" s="9" t="str">
        <x:v>INTERNET XFR</x:v>
      </x:c>
      <x:c r="G302" s="9" t="str">
        <x:v>FT</x:v>
      </x:c>
      <x:c r="H302" s="9" t="str">
        <x:v>02-0568-0080488-10</x:v>
      </x:c>
      <x:c r="I302" s="9" t="str">
        <x:v>ignored</x:v>
      </x:c>
      <x:c r="J302" s="9" t="str">
        <x:v>Excluded: ignored</x:v>
      </x:c>
      <x:c r="K302" s="9" t="str"/>
      <x:c r="L302" s="9" t="str">
        <x:v>vetn95</x:v>
      </x:c>
      <x:c r="M302" s="9" t="str">
        <x:v>BNZ imported to TradePilot</x:v>
      </x:c>
      <x:c r="N302" s="9" t="str">
        <x:v>No</x:v>
      </x:c>
    </x:row>
    <x:row r="303">
      <x:c r="A303" s="10" t="n">
        <x:v>46190</x:v>
      </x:c>
      <x:c r="B303" s="11" t="n">
        <x:v>761.76</x:v>
      </x:c>
      <x:c r="C303" s="9" t="str">
        <x:v>Wray M R &amp; M J</x:v>
      </x:c>
      <x:c r="D303" s="9" t="str">
        <x:v>INV-CD14E6</x:v>
      </x:c>
      <x:c r="E303" s="9" t="str">
        <x:v>WRAY</x:v>
      </x:c>
      <x:c r="F303" s="9" t="str">
        <x:v>42bFarrantDr</x:v>
      </x:c>
      <x:c r="G303" s="9" t="str">
        <x:v>DC</x:v>
      </x:c>
      <x:c r="H303" s="9" t="str">
        <x:v>03-1514-0067821-00</x:v>
      </x:c>
      <x:c r="I303" s="9" t="str">
        <x:v>matched</x:v>
      </x:c>
      <x:c r="J303" s="9" t="str">
        <x:v>Use matched TradePilot coding</x:v>
      </x:c>
      <x:c r="K303" s="9" t="str"/>
      <x:c r="L303" s="9" t="str">
        <x:v>db1r64</x:v>
      </x:c>
      <x:c r="M303" s="9" t="str">
        <x:v>BNZ imported to TradePilot</x:v>
      </x:c>
      <x:c r="N303" s="9" t="str">
        <x:v>See ledger</x:v>
      </x:c>
    </x:row>
    <x:row r="304">
      <x:c r="A304" s="10" t="n">
        <x:v>46191</x:v>
      </x:c>
      <x:c r="B304" s="11" t="n">
        <x:v>-100</x:v>
      </x:c>
      <x:c r="C304" s="9" t="str">
        <x:v>YouMoney</x:v>
      </x:c>
      <x:c r="D304" s="9" t="str"/>
      <x:c r="E304" s="9" t="str"/>
      <x:c r="F304" s="9" t="str">
        <x:v>INTERNET XFR</x:v>
      </x:c>
      <x:c r="G304" s="9" t="str">
        <x:v>FT</x:v>
      </x:c>
      <x:c r="H304" s="9" t="str">
        <x:v>02-0568-0080488-83</x:v>
      </x:c>
      <x:c r="I304" s="9" t="str">
        <x:v>ignored</x:v>
      </x:c>
      <x:c r="J304" s="9" t="str">
        <x:v>Excluded: ignored</x:v>
      </x:c>
      <x:c r="K304" s="9" t="str"/>
      <x:c r="L304" s="9" t="str">
        <x:v>xm3rpu</x:v>
      </x:c>
      <x:c r="M304" s="9" t="str">
        <x:v>BNZ imported to TradePilot</x:v>
      </x:c>
      <x:c r="N304" s="9" t="str">
        <x:v>No</x:v>
      </x:c>
    </x:row>
    <x:row r="305">
      <x:c r="A305" s="10" t="n">
        <x:v>46193</x:v>
      </x:c>
      <x:c r="B305" s="11" t="n">
        <x:v>-1449.01</x:v>
      </x:c>
      <x:c r="C305" s="9" t="str">
        <x:v>Dulux</x:v>
      </x:c>
      <x:c r="D305" s="9" t="str"/>
      <x:c r="E305" s="9" t="str"/>
      <x:c r="F305" s="9" t="str"/>
      <x:c r="G305" s="9" t="str">
        <x:v>BP</x:v>
      </x:c>
      <x:c r="H305" s="9" t="str">
        <x:v>03-0502-0287662-00</x:v>
      </x:c>
      <x:c r="I305" s="9" t="str">
        <x:v>matched</x:v>
      </x:c>
      <x:c r="J305" s="9" t="str">
        <x:v>Use matched TradePilot coding</x:v>
      </x:c>
      <x:c r="K305" s="9" t="str"/>
      <x:c r="L305" s="9" t="str">
        <x:v>lwu4ov</x:v>
      </x:c>
      <x:c r="M305" s="9" t="str">
        <x:v>BNZ imported to TradePilot</x:v>
      </x:c>
      <x:c r="N305" s="9" t="str">
        <x:v>See ledger</x:v>
      </x:c>
    </x:row>
    <x:row r="306">
      <x:c r="A306" s="10" t="n">
        <x:v>46193</x:v>
      </x:c>
      <x:c r="B306" s="11" t="n">
        <x:v>-987.73</x:v>
      </x:c>
      <x:c r="C306" s="9" t="str">
        <x:v>Taskhound Limited</x:v>
      </x:c>
      <x:c r="D306" s="9" t="str"/>
      <x:c r="E306" s="9" t="str"/>
      <x:c r="F306" s="9" t="str"/>
      <x:c r="G306" s="9" t="str">
        <x:v>BP</x:v>
      </x:c>
      <x:c r="H306" s="9" t="str">
        <x:v>38-9027-0333199-00</x:v>
      </x:c>
      <x:c r="I306" s="9" t="str">
        <x:v>matched</x:v>
      </x:c>
      <x:c r="J306" s="9" t="str">
        <x:v>Use matched TradePilot coding</x:v>
      </x:c>
      <x:c r="K306" s="9" t="str"/>
      <x:c r="L306" s="9" t="str">
        <x:v>wz5nqf</x:v>
      </x:c>
      <x:c r="M306" s="9" t="str">
        <x:v>BNZ imported to TradePilot</x:v>
      </x:c>
      <x:c r="N306" s="9" t="str">
        <x:v>See ledger</x:v>
      </x:c>
    </x:row>
    <x:row r="307">
      <x:c r="A307" s="10" t="n">
        <x:v>46193</x:v>
      </x:c>
      <x:c r="B307" s="11" t="n">
        <x:v>450</x:v>
      </x:c>
      <x:c r="C307" s="9" t="str">
        <x:v>CREONTE TAHUNA</x:v>
      </x:c>
      <x:c r="D307" s="9" t="str">
        <x:v>Creonte</x:v>
      </x:c>
      <x:c r="E307" s="9" t="str">
        <x:v>Tahuna</x:v>
      </x:c>
      <x:c r="F307" s="9" t="str">
        <x:v>May26</x:v>
      </x:c>
      <x:c r="G307" s="9" t="str">
        <x:v>BP</x:v>
      </x:c>
      <x:c r="H307" s="9" t="str">
        <x:v>02-0673-0177943-00</x:v>
      </x:c>
      <x:c r="I307" s="9" t="str">
        <x:v>ignored</x:v>
      </x:c>
      <x:c r="J307" s="9" t="str">
        <x:v>Excluded: ignored</x:v>
      </x:c>
      <x:c r="K307" s="9" t="str"/>
      <x:c r="L307" s="9" t="str">
        <x:v>kounug</x:v>
      </x:c>
      <x:c r="M307" s="9" t="str">
        <x:v>BNZ imported to TradePilot</x:v>
      </x:c>
      <x:c r="N307" s="9" t="str">
        <x:v>No</x:v>
      </x:c>
    </x:row>
    <x:row r="308">
      <x:c r="A308" s="10" t="n">
        <x:v>46193</x:v>
      </x:c>
      <x:c r="B308" s="11" t="n">
        <x:v>-268.76</x:v>
      </x:c>
      <x:c r="C308" s="9" t="str">
        <x:v>RESENE PAINTS LTD</x:v>
      </x:c>
      <x:c r="D308" s="9" t="str"/>
      <x:c r="E308" s="9" t="str"/>
      <x:c r="F308" s="9" t="str"/>
      <x:c r="G308" s="9" t="str">
        <x:v>BP</x:v>
      </x:c>
      <x:c r="H308" s="9" t="str">
        <x:v>02-0528-0278270-07</x:v>
      </x:c>
      <x:c r="I308" s="9" t="str">
        <x:v>matched</x:v>
      </x:c>
      <x:c r="J308" s="9" t="str">
        <x:v>Use matched TradePilot coding</x:v>
      </x:c>
      <x:c r="K308" s="9" t="str"/>
      <x:c r="L308" s="9" t="str">
        <x:v>3so5vi</x:v>
      </x:c>
      <x:c r="M308" s="9" t="str">
        <x:v>BNZ imported to TradePilot</x:v>
      </x:c>
      <x:c r="N308" s="9" t="str">
        <x:v>See ledger</x:v>
      </x:c>
    </x:row>
    <x:row r="309">
      <x:c r="A309" s="10" t="n">
        <x:v>46194</x:v>
      </x:c>
      <x:c r="B309" s="11" t="n">
        <x:v>-4.99</x:v>
      </x:c>
      <x:c r="C309" s="9" t="str">
        <x:v>SUPPORT LOCAL</x:v>
      </x:c>
      <x:c r="D309" s="9" t="str">
        <x:v>5996</x:v>
      </x:c>
      <x:c r="E309" s="9" t="str">
        <x:v>AUCKLAND</x:v>
      </x:c>
      <x:c r="F309" s="9" t="str">
        <x:v>448131212211</x:v>
      </x:c>
      <x:c r="G309" s="9" t="str">
        <x:v>POS</x:v>
      </x:c>
      <x:c r="H309" s="9" t="str">
        <x:v>---</x:v>
      </x:c>
      <x:c r="I309" s="9" t="str">
        <x:v>personal</x:v>
      </x:c>
      <x:c r="J309" s="9" t="str">
        <x:v>Excluded: personal</x:v>
      </x:c>
      <x:c r="K309" s="9" t="str"/>
      <x:c r="L309" s="9" t="str">
        <x:v>fin2e2</x:v>
      </x:c>
      <x:c r="M309" s="9" t="str">
        <x:v>BNZ imported to TradePilot</x:v>
      </x:c>
      <x:c r="N309" s="9" t="str">
        <x:v>No</x:v>
      </x:c>
    </x:row>
    <x:row r="310">
      <x:c r="A310" s="10" t="n">
        <x:v>46195</x:v>
      </x:c>
      <x:c r="B310" s="11" t="n">
        <x:v>-60</x:v>
      </x:c>
      <x:c r="C310" s="9" t="str">
        <x:v>Savings</x:v>
      </x:c>
      <x:c r="D310" s="9" t="str"/>
      <x:c r="E310" s="9" t="str"/>
      <x:c r="F310" s="9" t="str">
        <x:v>INTERNET XFR</x:v>
      </x:c>
      <x:c r="G310" s="9" t="str">
        <x:v>FT</x:v>
      </x:c>
      <x:c r="H310" s="9" t="str">
        <x:v>02-0568-0080488-10</x:v>
      </x:c>
      <x:c r="I310" s="9" t="str">
        <x:v>ignored</x:v>
      </x:c>
      <x:c r="J310" s="9" t="str">
        <x:v>Excluded: ignored</x:v>
      </x:c>
      <x:c r="K310" s="9" t="str"/>
      <x:c r="L310" s="9" t="str">
        <x:v>x357yw</x:v>
      </x:c>
      <x:c r="M310" s="9" t="str">
        <x:v>BNZ imported to TradePilot</x:v>
      </x:c>
      <x:c r="N310" s="9" t="str">
        <x:v>No</x:v>
      </x:c>
    </x:row>
    <x:row r="311">
      <x:c r="A311" s="10" t="n">
        <x:v>46195</x:v>
      </x:c>
      <x:c r="B311" s="11" t="n">
        <x:v>-30.22</x:v>
      </x:c>
      <x:c r="C311" s="9" t="str">
        <x:v>BP CONNECT WANAKA</x:v>
      </x:c>
      <x:c r="D311" s="9" t="str">
        <x:v>5996</x:v>
      </x:c>
      <x:c r="E311" s="9" t="str">
        <x:v>WANAKA</x:v>
      </x:c>
      <x:c r="F311" s="9" t="str">
        <x:v>492102221530</x:v>
      </x:c>
      <x:c r="G311" s="9" t="str">
        <x:v>POS</x:v>
      </x:c>
      <x:c r="H311" s="9" t="str">
        <x:v>---</x:v>
      </x:c>
      <x:c r="I311" s="9" t="str">
        <x:v>matched</x:v>
      </x:c>
      <x:c r="J311" s="9" t="str">
        <x:v>Use matched TradePilot coding</x:v>
      </x:c>
      <x:c r="K311" s="9" t="str"/>
      <x:c r="L311" s="9" t="str">
        <x:v>eiu7n4</x:v>
      </x:c>
      <x:c r="M311" s="9" t="str">
        <x:v>BNZ imported to TradePilot</x:v>
      </x:c>
      <x:c r="N311" s="9" t="str">
        <x:v>See ledger</x:v>
      </x:c>
    </x:row>
    <x:row r="312">
      <x:c r="A312" s="10" t="n">
        <x:v>46195</x:v>
      </x:c>
      <x:c r="B312" s="11" t="n">
        <x:v>-27.96</x:v>
      </x:c>
      <x:c r="C312" s="9" t="str">
        <x:v>MITRE 10 MEGA WANAKA</x:v>
      </x:c>
      <x:c r="D312" s="9" t="str">
        <x:v>5996</x:v>
      </x:c>
      <x:c r="E312" s="9" t="str">
        <x:v>WANAKA</x:v>
      </x:c>
      <x:c r="F312" s="9" t="str">
        <x:v>434667221308</x:v>
      </x:c>
      <x:c r="G312" s="9" t="str">
        <x:v>POS</x:v>
      </x:c>
      <x:c r="H312" s="9" t="str">
        <x:v>---</x:v>
      </x:c>
      <x:c r="I312" s="9" t="str">
        <x:v>matched</x:v>
      </x:c>
      <x:c r="J312" s="9" t="str">
        <x:v>Use matched TradePilot coding</x:v>
      </x:c>
      <x:c r="K312" s="9" t="str"/>
      <x:c r="L312" s="9" t="str">
        <x:v>i3vt8w</x:v>
      </x:c>
      <x:c r="M312" s="9" t="str">
        <x:v>BNZ imported to TradePilot</x:v>
      </x:c>
      <x:c r="N312" s="9" t="str">
        <x:v>See ledger</x:v>
      </x:c>
    </x:row>
    <x:row r="313">
      <x:c r="A313" s="10" t="n">
        <x:v>46195</x:v>
      </x:c>
      <x:c r="B313" s="11" t="n">
        <x:v>598</x:v>
      </x:c>
      <x:c r="C313" s="9" t="str">
        <x:v>MCCUTCHEON LI</x:v>
      </x:c>
      <x:c r="D313" s="9" t="str">
        <x:v>21 Mt Linton</x:v>
      </x:c>
      <x:c r="E313" s="9" t="str">
        <x:v>Q0 42</x:v>
      </x:c>
      <x:c r="F313" s="9" t="str"/>
      <x:c r="G313" s="9" t="str">
        <x:v>BP</x:v>
      </x:c>
      <x:c r="H313" s="9" t="str">
        <x:v>06-0901-0004949-08</x:v>
      </x:c>
      <x:c r="I313" s="9" t="str">
        <x:v>matched</x:v>
      </x:c>
      <x:c r="J313" s="9" t="str">
        <x:v>Use matched TradePilot coding</x:v>
      </x:c>
      <x:c r="K313" s="9" t="str"/>
      <x:c r="L313" s="9" t="str">
        <x:v>7n29o3</x:v>
      </x:c>
      <x:c r="M313" s="9" t="str">
        <x:v>BNZ imported to TradePilot</x:v>
      </x:c>
      <x:c r="N313" s="9" t="str">
        <x:v>See ledger</x:v>
      </x:c>
    </x:row>
    <x:row r="314">
      <x:c r="A314" s="10" t="n">
        <x:v>46195</x:v>
      </x:c>
      <x:c r="B314" s="11" t="n">
        <x:v>-500</x:v>
      </x:c>
      <x:c r="C314" s="9" t="str">
        <x:v>YouMoney</x:v>
      </x:c>
      <x:c r="D314" s="9" t="str"/>
      <x:c r="E314" s="9" t="str"/>
      <x:c r="F314" s="9" t="str">
        <x:v>INTERNET XFR</x:v>
      </x:c>
      <x:c r="G314" s="9" t="str">
        <x:v>FT</x:v>
      </x:c>
      <x:c r="H314" s="9" t="str">
        <x:v>02-0568-0080488-83</x:v>
      </x:c>
      <x:c r="I314" s="9" t="str">
        <x:v>ignored</x:v>
      </x:c>
      <x:c r="J314" s="9" t="str">
        <x:v>Excluded: ignored</x:v>
      </x:c>
      <x:c r="K314" s="9" t="str"/>
      <x:c r="L314" s="9" t="str">
        <x:v>ysscvj</x:v>
      </x:c>
      <x:c r="M314" s="9" t="str">
        <x:v>BNZ imported to TradePilot</x:v>
      </x:c>
      <x:c r="N314" s="9" t="str">
        <x:v>No</x:v>
      </x:c>
    </x:row>
    <x:row r="315">
      <x:c r="A315" s="10" t="n">
        <x:v>46195</x:v>
      </x:c>
      <x:c r="B315" s="11" t="n">
        <x:v>-16.6</x:v>
      </x:c>
      <x:c r="C315" s="9" t="str">
        <x:v>IRD Conv Fee</x:v>
      </x:c>
      <x:c r="D315" s="9" t="str">
        <x:v>5996</x:v>
      </x:c>
      <x:c r="E315" s="9" t="str">
        <x:v>Auckland</x:v>
      </x:c>
      <x:c r="F315" s="9" t="str">
        <x:v>454860221041</x:v>
      </x:c>
      <x:c r="G315" s="9" t="str">
        <x:v>POS</x:v>
      </x:c>
      <x:c r="H315" s="9" t="str">
        <x:v>---</x:v>
      </x:c>
      <x:c r="I315" s="9" t="str">
        <x:v>tax</x:v>
      </x:c>
      <x:c r="J315" s="9" t="str">
        <x:v>Excluded: tax</x:v>
      </x:c>
      <x:c r="K315" s="9" t="str">
        <x:v>Tax: other</x:v>
      </x:c>
      <x:c r="L315" s="9" t="str">
        <x:v>w3zwjy</x:v>
      </x:c>
      <x:c r="M315" s="9" t="str">
        <x:v>BNZ imported to TradePilot</x:v>
      </x:c>
      <x:c r="N315" s="9" t="str">
        <x:v>No</x:v>
      </x:c>
    </x:row>
    <x:row r="316">
      <x:c r="A316" s="10" t="n">
        <x:v>46195</x:v>
      </x:c>
      <x:c r="B316" s="11" t="n">
        <x:v>-1168.84</x:v>
      </x:c>
      <x:c r="C316" s="9" t="str">
        <x:v>Inland Revenue</x:v>
      </x:c>
      <x:c r="D316" s="9" t="str">
        <x:v>5996</x:v>
      </x:c>
      <x:c r="E316" s="9" t="str">
        <x:v>Wellington</x:v>
      </x:c>
      <x:c r="F316" s="9" t="str">
        <x:v>454860221041</x:v>
      </x:c>
      <x:c r="G316" s="9" t="str">
        <x:v>POS</x:v>
      </x:c>
      <x:c r="H316" s="9" t="str">
        <x:v>---</x:v>
      </x:c>
      <x:c r="I316" s="9" t="str">
        <x:v>tax</x:v>
      </x:c>
      <x:c r="J316" s="9" t="str">
        <x:v>Excluded: tax</x:v>
      </x:c>
      <x:c r="K316" s="9" t="str">
        <x:v>Tax: income_tax</x:v>
      </x:c>
      <x:c r="L316" s="9" t="str">
        <x:v>7cwcz8</x:v>
      </x:c>
      <x:c r="M316" s="9" t="str">
        <x:v>BNZ imported to TradePilot</x:v>
      </x:c>
      <x:c r="N316" s="9" t="str">
        <x:v>No</x:v>
      </x:c>
    </x:row>
    <x:row r="317">
      <x:c r="A317" s="10" t="n">
        <x:v>46196</x:v>
      </x:c>
      <x:c r="B317" s="11" t="n">
        <x:v>-64.84</x:v>
      </x:c>
      <x:c r="C317" s="9" t="str">
        <x:v>MITRE 10 MEGA WANAKA</x:v>
      </x:c>
      <x:c r="D317" s="9" t="str">
        <x:v>5996</x:v>
      </x:c>
      <x:c r="E317" s="9" t="str">
        <x:v>WANAKA</x:v>
      </x:c>
      <x:c r="F317" s="9" t="str">
        <x:v>434667231112</x:v>
      </x:c>
      <x:c r="G317" s="9" t="str">
        <x:v>POS</x:v>
      </x:c>
      <x:c r="H317" s="9" t="str">
        <x:v>---</x:v>
      </x:c>
      <x:c r="I317" s="9" t="str">
        <x:v>matched</x:v>
      </x:c>
      <x:c r="J317" s="9" t="str">
        <x:v>Use matched TradePilot coding</x:v>
      </x:c>
      <x:c r="K317" s="9" t="str"/>
      <x:c r="L317" s="9" t="str">
        <x:v>dvs6q1</x:v>
      </x:c>
      <x:c r="M317" s="9" t="str">
        <x:v>BNZ imported to TradePilot</x:v>
      </x:c>
      <x:c r="N317" s="9" t="str">
        <x:v>See ledger</x:v>
      </x:c>
    </x:row>
    <x:row r="318">
      <x:c r="A318" s="10" t="n">
        <x:v>46196</x:v>
      </x:c>
      <x:c r="B318" s="11" t="n">
        <x:v>-420.09</x:v>
      </x:c>
      <x:c r="C318" s="9" t="str">
        <x:v>MITRE 10 MEGA WANAKA</x:v>
      </x:c>
      <x:c r="D318" s="9" t="str">
        <x:v>5996</x:v>
      </x:c>
      <x:c r="E318" s="9" t="str">
        <x:v>WANAKA</x:v>
      </x:c>
      <x:c r="F318" s="9" t="str">
        <x:v>434667231200</x:v>
      </x:c>
      <x:c r="G318" s="9" t="str">
        <x:v>POS</x:v>
      </x:c>
      <x:c r="H318" s="9" t="str">
        <x:v>---</x:v>
      </x:c>
      <x:c r="I318" s="9" t="str">
        <x:v>matched</x:v>
      </x:c>
      <x:c r="J318" s="9" t="str">
        <x:v>Use matched TradePilot coding</x:v>
      </x:c>
      <x:c r="K318" s="9" t="str"/>
      <x:c r="L318" s="9" t="str">
        <x:v>p09bk</x:v>
      </x:c>
      <x:c r="M318" s="9" t="str">
        <x:v>BNZ imported to TradePilot</x:v>
      </x:c>
      <x:c r="N318" s="9" t="str">
        <x:v>See ledger</x:v>
      </x:c>
    </x:row>
    <x:row r="319">
      <x:c r="A319" s="10" t="n">
        <x:v>46197</x:v>
      </x:c>
      <x:c r="B319" s="11" t="n">
        <x:v>-500</x:v>
      </x:c>
      <x:c r="C319" s="9" t="str">
        <x:v>YouMoney</x:v>
      </x:c>
      <x:c r="D319" s="9" t="str"/>
      <x:c r="E319" s="9" t="str"/>
      <x:c r="F319" s="9" t="str">
        <x:v>INTERNET XFR</x:v>
      </x:c>
      <x:c r="G319" s="9" t="str">
        <x:v>FT</x:v>
      </x:c>
      <x:c r="H319" s="9" t="str">
        <x:v>02-0568-0080488-83</x:v>
      </x:c>
      <x:c r="I319" s="9" t="str">
        <x:v>ignored</x:v>
      </x:c>
      <x:c r="J319" s="9" t="str">
        <x:v>Excluded: ignored</x:v>
      </x:c>
      <x:c r="K319" s="9" t="str"/>
      <x:c r="L319" s="9" t="str">
        <x:v>lgbw5v</x:v>
      </x:c>
      <x:c r="M319" s="9" t="str">
        <x:v>BNZ imported to TradePilot</x:v>
      </x:c>
      <x:c r="N319" s="9" t="str">
        <x:v>No</x:v>
      </x:c>
    </x:row>
    <x:row r="320">
      <x:c r="A320" s="10" t="n">
        <x:v>46198</x:v>
      </x:c>
      <x:c r="B320" s="11" t="n">
        <x:v>-88.09</x:v>
      </x:c>
      <x:c r="C320" s="9" t="str">
        <x:v>BP CONNECT WANAKA</x:v>
      </x:c>
      <x:c r="D320" s="9" t="str">
        <x:v>5996</x:v>
      </x:c>
      <x:c r="E320" s="9" t="str">
        <x:v>WANAKA</x:v>
      </x:c>
      <x:c r="F320" s="9" t="str">
        <x:v>492102251351</x:v>
      </x:c>
      <x:c r="G320" s="9" t="str">
        <x:v>POS</x:v>
      </x:c>
      <x:c r="H320" s="9" t="str">
        <x:v>---</x:v>
      </x:c>
      <x:c r="I320" s="9" t="str">
        <x:v>matched</x:v>
      </x:c>
      <x:c r="J320" s="9" t="str">
        <x:v>Use matched TradePilot coding</x:v>
      </x:c>
      <x:c r="K320" s="9" t="str"/>
      <x:c r="L320" s="9" t="str">
        <x:v>emyws7</x:v>
      </x:c>
      <x:c r="M320" s="9" t="str">
        <x:v>BNZ imported to TradePilot</x:v>
      </x:c>
      <x:c r="N320" s="9" t="str">
        <x:v>See ledger</x:v>
      </x:c>
    </x:row>
    <x:row r="321">
      <x:c r="A321" s="10" t="n">
        <x:v>46199</x:v>
      </x:c>
      <x:c r="B321" s="11" t="n">
        <x:v>-100</x:v>
      </x:c>
      <x:c r="C321" s="9" t="str">
        <x:v>Savings</x:v>
      </x:c>
      <x:c r="D321" s="9" t="str"/>
      <x:c r="E321" s="9" t="str"/>
      <x:c r="F321" s="9" t="str">
        <x:v>INTERNET XFR</x:v>
      </x:c>
      <x:c r="G321" s="9" t="str">
        <x:v>FT</x:v>
      </x:c>
      <x:c r="H321" s="9" t="str">
        <x:v>02-0568-0080488-10</x:v>
      </x:c>
      <x:c r="I321" s="9" t="str">
        <x:v>ignored</x:v>
      </x:c>
      <x:c r="J321" s="9" t="str">
        <x:v>Excluded: ignored</x:v>
      </x:c>
      <x:c r="K321" s="9" t="str"/>
      <x:c r="L321" s="9" t="str">
        <x:v>axgwtj</x:v>
      </x:c>
      <x:c r="M321" s="9" t="str">
        <x:v>BNZ imported to TradePilot</x:v>
      </x:c>
      <x:c r="N321" s="9" t="str">
        <x:v>No</x:v>
      </x:c>
    </x:row>
    <x:row r="322">
      <x:c r="A322" s="10" t="n">
        <x:v>46199</x:v>
      </x:c>
      <x:c r="B322" s="11" t="n">
        <x:v>1322.5</x:v>
      </x:c>
      <x:c r="C322" s="9" t="str">
        <x:v>STEPHENS AMY</x:v>
      </x:c>
      <x:c r="D322" s="9" t="str">
        <x:v>Amy Bixby</x:v>
      </x:c>
      <x:c r="E322" s="9" t="str"/>
      <x:c r="F322" s="9" t="str"/>
      <x:c r="G322" s="9" t="str">
        <x:v>BP</x:v>
      </x:c>
      <x:c r="H322" s="9" t="str">
        <x:v>06-0917-0718532-00</x:v>
      </x:c>
      <x:c r="I322" s="9" t="str">
        <x:v>matched</x:v>
      </x:c>
      <x:c r="J322" s="9" t="str">
        <x:v>Use matched TradePilot coding</x:v>
      </x:c>
      <x:c r="K322" s="9" t="str"/>
      <x:c r="L322" s="9" t="str">
        <x:v>xh13m0</x:v>
      </x:c>
      <x:c r="M322" s="9" t="str">
        <x:v>BNZ imported to TradePilot</x:v>
      </x:c>
      <x:c r="N322" s="9" t="str">
        <x:v>See ledger</x:v>
      </x:c>
    </x:row>
    <x:row r="323">
      <x:c r="A323" s="10" t="n">
        <x:v>46200</x:v>
      </x:c>
      <x:c r="B323" s="11" t="n">
        <x:v>-134.32</x:v>
      </x:c>
      <x:c r="C323" s="9" t="str">
        <x:v>MITRE 10 MEGA WANAKA</x:v>
      </x:c>
      <x:c r="D323" s="9" t="str">
        <x:v>5996</x:v>
      </x:c>
      <x:c r="E323" s="9" t="str">
        <x:v>WANAKA</x:v>
      </x:c>
      <x:c r="F323" s="9" t="str">
        <x:v>434667271614</x:v>
      </x:c>
      <x:c r="G323" s="9" t="str">
        <x:v>POS</x:v>
      </x:c>
      <x:c r="H323" s="9" t="str">
        <x:v>---</x:v>
      </x:c>
      <x:c r="I323" s="9" t="str">
        <x:v>matched</x:v>
      </x:c>
      <x:c r="J323" s="9" t="str">
        <x:v>Use matched TradePilot coding</x:v>
      </x:c>
      <x:c r="K323" s="9" t="str"/>
      <x:c r="L323" s="9" t="str">
        <x:v>yg3dxb</x:v>
      </x:c>
      <x:c r="M323" s="9" t="str">
        <x:v>BNZ imported to TradePilot</x:v>
      </x:c>
      <x:c r="N323" s="9" t="str">
        <x:v>See ledger</x:v>
      </x:c>
    </x:row>
    <x:row r="324">
      <x:c r="A324" s="10" t="n">
        <x:v>46200</x:v>
      </x:c>
      <x:c r="B324" s="11" t="n">
        <x:v>-20.38</x:v>
      </x:c>
      <x:c r="C324" s="9" t="str">
        <x:v>Burrito Craft</x:v>
      </x:c>
      <x:c r="D324" s="9" t="str">
        <x:v>5996</x:v>
      </x:c>
      <x:c r="E324" s="9" t="str">
        <x:v>Wanaka</x:v>
      </x:c>
      <x:c r="F324" s="9" t="str">
        <x:v>420549271826</x:v>
      </x:c>
      <x:c r="G324" s="9" t="str">
        <x:v>POS</x:v>
      </x:c>
      <x:c r="H324" s="9" t="str">
        <x:v>---</x:v>
      </x:c>
      <x:c r="I324" s="9" t="str">
        <x:v>personal</x:v>
      </x:c>
      <x:c r="J324" s="9" t="str">
        <x:v>Excluded: personal</x:v>
      </x:c>
      <x:c r="K324" s="9" t="str"/>
      <x:c r="L324" s="9" t="str">
        <x:v>471fme</x:v>
      </x:c>
      <x:c r="M324" s="9" t="str">
        <x:v>BNZ imported to TradePilot</x:v>
      </x:c>
      <x:c r="N324" s="9" t="str">
        <x:v>No</x:v>
      </x:c>
    </x:row>
    <x:row r="325">
      <x:c r="A325" s="10" t="n">
        <x:v>46201</x:v>
      </x:c>
      <x:c r="B325" s="11" t="n">
        <x:v>-112.29</x:v>
      </x:c>
      <x:c r="C325" s="9" t="str">
        <x:v>BP CONNECT WANAKA</x:v>
      </x:c>
      <x:c r="D325" s="9" t="str">
        <x:v>5996</x:v>
      </x:c>
      <x:c r="E325" s="9" t="str">
        <x:v>WANAKA</x:v>
      </x:c>
      <x:c r="F325" s="9" t="str">
        <x:v>492102280919</x:v>
      </x:c>
      <x:c r="G325" s="9" t="str">
        <x:v>POS</x:v>
      </x:c>
      <x:c r="H325" s="9" t="str">
        <x:v>---</x:v>
      </x:c>
      <x:c r="I325" s="9" t="str">
        <x:v>matched</x:v>
      </x:c>
      <x:c r="J325" s="9" t="str">
        <x:v>Use matched TradePilot coding</x:v>
      </x:c>
      <x:c r="K325" s="9" t="str"/>
      <x:c r="L325" s="9" t="str">
        <x:v>2xft0i</x:v>
      </x:c>
      <x:c r="M325" s="9" t="str">
        <x:v>BNZ imported to TradePilot</x:v>
      </x:c>
      <x:c r="N325" s="9" t="str">
        <x:v>See ledger</x:v>
      </x:c>
    </x:row>
    <x:row r="326">
      <x:c r="A326" s="10" t="n">
        <x:v>46202</x:v>
      </x:c>
      <x:c r="B326" s="11" t="n">
        <x:v>-500</x:v>
      </x:c>
      <x:c r="C326" s="9" t="str">
        <x:v>YouMoney</x:v>
      </x:c>
      <x:c r="D326" s="9" t="str"/>
      <x:c r="E326" s="9" t="str"/>
      <x:c r="F326" s="9" t="str">
        <x:v>INTERNET XFR</x:v>
      </x:c>
      <x:c r="G326" s="9" t="str">
        <x:v>FT</x:v>
      </x:c>
      <x:c r="H326" s="9" t="str">
        <x:v>02-0568-0080488-83</x:v>
      </x:c>
      <x:c r="I326" s="9" t="str">
        <x:v>ignored</x:v>
      </x:c>
      <x:c r="J326" s="9" t="str">
        <x:v>Excluded: ignored</x:v>
      </x:c>
      <x:c r="K326" s="9" t="str"/>
      <x:c r="L326" s="9" t="str">
        <x:v>k0wet4</x:v>
      </x:c>
      <x:c r="M326" s="9" t="str">
        <x:v>BNZ imported to TradePilot</x:v>
      </x:c>
      <x:c r="N326" s="9" t="str">
        <x:v>No</x:v>
      </x:c>
    </x:row>
    <x:row r="327">
      <x:c r="A327" s="10" t="n">
        <x:v>46203</x:v>
      </x:c>
      <x:c r="B327" s="11" t="n">
        <x:v>-200</x:v>
      </x:c>
      <x:c r="C327" s="9" t="str">
        <x:v>ANTHROPIC* CLAUDE SU</x:v>
      </x:c>
      <x:c r="D327" s="9" t="str">
        <x:v>5996</x:v>
      </x:c>
      <x:c r="E327" s="9" t="str">
        <x:v>ANTHROPIC.CO</x:v>
      </x:c>
      <x:c r="F327" s="9" t="str">
        <x:v>401134302125</x:v>
      </x:c>
      <x:c r="G327" s="9" t="str">
        <x:v>POS</x:v>
      </x:c>
      <x:c r="H327" s="9" t="str">
        <x:v>---</x:v>
      </x:c>
      <x:c r="I327" s="9" t="str">
        <x:v>matched</x:v>
      </x:c>
      <x:c r="J327" s="9" t="str">
        <x:v>Use matched TradePilot coding</x:v>
      </x:c>
      <x:c r="K327" s="9" t="str"/>
      <x:c r="L327" s="9" t="str">
        <x:v>yk4vw2</x:v>
      </x:c>
      <x:c r="M327" s="9" t="str">
        <x:v>BNZ imported to TradePilot</x:v>
      </x:c>
      <x:c r="N327" s="9" t="str">
        <x:v>See ledger</x:v>
      </x:c>
    </x:row>
    <x:row r="328">
      <x:c r="A328" s="10" t="n">
        <x:v>46204</x:v>
      </x:c>
      <x:c r="B328" s="11" t="n">
        <x:v>-588</x:v>
      </x:c>
      <x:c r="C328" s="9" t="str">
        <x:v>WWW.TRADEMAX.CO.NZ</x:v>
      </x:c>
      <x:c r="D328" s="9" t="str">
        <x:v>5996</x:v>
      </x:c>
      <x:c r="E328" s="9" t="str">
        <x:v>DUNEDIN</x:v>
      </x:c>
      <x:c r="F328" s="9" t="str">
        <x:v>448131011722</x:v>
      </x:c>
      <x:c r="G328" s="9" t="str">
        <x:v>POS</x:v>
      </x:c>
      <x:c r="H328" s="9" t="str">
        <x:v>---</x:v>
      </x:c>
      <x:c r="I328" s="9" t="str">
        <x:v>matched</x:v>
      </x:c>
      <x:c r="J328" s="9" t="str">
        <x:v>Use matched TradePilot coding</x:v>
      </x:c>
      <x:c r="K328" s="9" t="str"/>
      <x:c r="L328" s="9" t="str">
        <x:v>5rb1z3</x:v>
      </x:c>
      <x:c r="M328" s="9" t="str">
        <x:v>BNZ imported to TradePilot</x:v>
      </x:c>
      <x:c r="N328" s="9" t="str">
        <x:v>See ledger</x:v>
      </x:c>
    </x:row>
    <x:row r="329">
      <x:c r="A329" s="10" t="n">
        <x:v>46204</x:v>
      </x:c>
      <x:c r="B329" s="11" t="n">
        <x:v>-22.75</x:v>
      </x:c>
      <x:c r="C329" s="9" t="str">
        <x:v>Google Workspace_lak</x:v>
      </x:c>
      <x:c r="D329" s="9" t="str">
        <x:v>5996</x:v>
      </x:c>
      <x:c r="E329" s="9" t="str">
        <x:v>Auckland</x:v>
      </x:c>
      <x:c r="F329" s="9" t="str">
        <x:v>453241011303</x:v>
      </x:c>
      <x:c r="G329" s="9" t="str">
        <x:v>POS</x:v>
      </x:c>
      <x:c r="H329" s="9" t="str">
        <x:v>---</x:v>
      </x:c>
      <x:c r="I329" s="9" t="str">
        <x:v>matched</x:v>
      </x:c>
      <x:c r="J329" s="9" t="str">
        <x:v>Use matched TradePilot coding</x:v>
      </x:c>
      <x:c r="K329" s="9" t="str"/>
      <x:c r="L329" s="9" t="str">
        <x:v>4ju9rb</x:v>
      </x:c>
      <x:c r="M329" s="9" t="str">
        <x:v>BNZ imported to TradePilot</x:v>
      </x:c>
      <x:c r="N329" s="9" t="str">
        <x:v>See ledger</x:v>
      </x:c>
    </x:row>
    <x:row r="330">
      <x:c r="A330" s="10" t="n">
        <x:v>46204</x:v>
      </x:c>
      <x:c r="B330" s="11" t="n">
        <x:v>1207.5</x:v>
      </x:c>
      <x:c r="C330" s="9" t="str">
        <x:v>The GC Family T</x:v>
      </x:c>
      <x:c r="D330" s="9" t="str">
        <x:v>Q047</x:v>
      </x:c>
      <x:c r="E330" s="9" t="str"/>
      <x:c r="F330" s="9" t="str"/>
      <x:c r="G330" s="9" t="str">
        <x:v>DC</x:v>
      </x:c>
      <x:c r="H330" s="9" t="str">
        <x:v>03-0905-0332894-00</x:v>
      </x:c>
      <x:c r="I330" s="9" t="str">
        <x:v>matched</x:v>
      </x:c>
      <x:c r="J330" s="9" t="str">
        <x:v>Use matched TradePilot coding</x:v>
      </x:c>
      <x:c r="K330" s="9" t="str"/>
      <x:c r="L330" s="9" t="str">
        <x:v>k7pb4b</x:v>
      </x:c>
      <x:c r="M330" s="9" t="str">
        <x:v>BNZ imported to TradePilot</x:v>
      </x:c>
      <x:c r="N330" s="9" t="str">
        <x:v>See ledger</x:v>
      </x:c>
    </x:row>
    <x:row r="331">
      <x:c r="A331" s="10" t="n">
        <x:v>46204</x:v>
      </x:c>
      <x:c r="B331" s="11" t="n">
        <x:v>686.38</x:v>
      </x:c>
      <x:c r="C331" s="9" t="str">
        <x:v>Home &amp; Co</x:v>
      </x:c>
      <x:c r="D331" s="9" t="str"/>
      <x:c r="E331" s="9" t="str"/>
      <x:c r="F331" s="9" t="str">
        <x:v>Lakesidepain</x:v>
      </x:c>
      <x:c r="G331" s="9" t="str">
        <x:v>DC</x:v>
      </x:c>
      <x:c r="H331" s="9" t="str">
        <x:v>02-0673-0130563-01</x:v>
      </x:c>
      <x:c r="I331" s="9" t="str">
        <x:v>matched</x:v>
      </x:c>
      <x:c r="J331" s="9" t="str">
        <x:v>Use matched TradePilot coding</x:v>
      </x:c>
      <x:c r="K331" s="9" t="str"/>
      <x:c r="L331" s="9" t="str">
        <x:v>6rqeyx</x:v>
      </x:c>
      <x:c r="M331" s="9" t="str">
        <x:v>BNZ imported to TradePilot</x:v>
      </x:c>
      <x:c r="N331" s="9" t="str">
        <x:v>See ledger</x:v>
      </x:c>
    </x:row>
    <x:row r="332">
      <x:c r="A332" s="10" t="n">
        <x:v>46205</x:v>
      </x:c>
      <x:c r="B332" s="11" t="n">
        <x:v>-334.99</x:v>
      </x:c>
      <x:c r="C332" s="9" t="str">
        <x:v>Mighty Ape KXH748KA</x:v>
      </x:c>
      <x:c r="D332" s="9" t="str">
        <x:v>5996</x:v>
      </x:c>
      <x:c r="E332" s="9" t="str">
        <x:v>Silverdale</x:v>
      </x:c>
      <x:c r="F332" s="9" t="str">
        <x:v>453241021231</x:v>
      </x:c>
      <x:c r="G332" s="9" t="str">
        <x:v>POS</x:v>
      </x:c>
      <x:c r="H332" s="9" t="str">
        <x:v>---</x:v>
      </x:c>
      <x:c r="I332" s="9" t="str">
        <x:v>matched</x:v>
      </x:c>
      <x:c r="J332" s="9" t="str">
        <x:v>Use matched TradePilot coding</x:v>
      </x:c>
      <x:c r="K332" s="9" t="str"/>
      <x:c r="L332" s="9" t="str">
        <x:v>m7fhlo</x:v>
      </x:c>
      <x:c r="M332" s="9" t="str">
        <x:v>BNZ imported to TradePilot</x:v>
      </x:c>
      <x:c r="N332" s="9" t="str">
        <x:v>See ledger</x:v>
      </x:c>
    </x:row>
    <x:row r="333">
      <x:c r="A333" s="10" t="n">
        <x:v>46206</x:v>
      </x:c>
      <x:c r="B333" s="11" t="n">
        <x:v>-28.33</x:v>
      </x:c>
      <x:c r="C333" s="9" t="str">
        <x:v>THE ALBIE</x:v>
      </x:c>
      <x:c r="D333" s="9" t="str">
        <x:v>5996</x:v>
      </x:c>
      <x:c r="E333" s="9" t="str">
        <x:v>ALBERT TOWN</x:v>
      </x:c>
      <x:c r="F333" s="9" t="str">
        <x:v>434667031632</x:v>
      </x:c>
      <x:c r="G333" s="9" t="str">
        <x:v>POS</x:v>
      </x:c>
      <x:c r="H333" s="9" t="str">
        <x:v>---</x:v>
      </x:c>
      <x:c r="I333" s="9" t="str">
        <x:v>personal</x:v>
      </x:c>
      <x:c r="J333" s="9" t="str">
        <x:v>Excluded: personal</x:v>
      </x:c>
      <x:c r="K333" s="9" t="str"/>
      <x:c r="L333" s="9" t="str">
        <x:v>n91cq2</x:v>
      </x:c>
      <x:c r="M333" s="9" t="str">
        <x:v>BNZ imported to TradePilot</x:v>
      </x:c>
      <x:c r="N333" s="9" t="str">
        <x:v>No</x:v>
      </x:c>
    </x:row>
    <x:row r="334">
      <x:c r="A334" s="10" t="n">
        <x:v>46207</x:v>
      </x:c>
      <x:c r="B334" s="11" t="n">
        <x:v>-400</x:v>
      </x:c>
      <x:c r="C334" s="9" t="str">
        <x:v>YouMoney</x:v>
      </x:c>
      <x:c r="D334" s="9" t="str"/>
      <x:c r="E334" s="9" t="str"/>
      <x:c r="F334" s="9" t="str">
        <x:v>INTERNET XFR</x:v>
      </x:c>
      <x:c r="G334" s="9" t="str">
        <x:v>FT</x:v>
      </x:c>
      <x:c r="H334" s="9" t="str">
        <x:v>02-0568-0080488-83</x:v>
      </x:c>
      <x:c r="I334" s="9" t="str">
        <x:v>ignored</x:v>
      </x:c>
      <x:c r="J334" s="9" t="str">
        <x:v>Excluded: ignored</x:v>
      </x:c>
      <x:c r="K334" s="9" t="str"/>
      <x:c r="L334" s="9" t="str">
        <x:v>u8spf3</x:v>
      </x:c>
      <x:c r="M334" s="9" t="str">
        <x:v>BNZ imported to TradePilot</x:v>
      </x:c>
      <x:c r="N334" s="9" t="str">
        <x:v>No</x:v>
      </x:c>
    </x:row>
    <x:row r="335">
      <x:c r="A335" s="10" t="n">
        <x:v>46210</x:v>
      </x:c>
      <x:c r="B335" s="11" t="n">
        <x:v>-1438.66</x:v>
      </x:c>
      <x:c r="C335" s="9" t="str">
        <x:v>SUSANA ECHEVERRI</x:v>
      </x:c>
      <x:c r="D335" s="9" t="str"/>
      <x:c r="E335" s="9" t="str"/>
      <x:c r="F335" s="9" t="str"/>
      <x:c r="G335" s="9" t="str">
        <x:v>BP</x:v>
      </x:c>
      <x:c r="H335" s="9" t="str">
        <x:v>02-0673-0190646-00</x:v>
      </x:c>
      <x:c r="I335" s="9" t="str">
        <x:v>matched</x:v>
      </x:c>
      <x:c r="J335" s="9" t="str">
        <x:v>Use matched TradePilot coding</x:v>
      </x:c>
      <x:c r="K335" s="9" t="str"/>
      <x:c r="L335" s="9" t="str">
        <x:v>aj4boa</x:v>
      </x:c>
      <x:c r="M335" s="9" t="str">
        <x:v>BNZ imported to TradePilot</x:v>
      </x:c>
      <x:c r="N335" s="9" t="str">
        <x:v>See ledger</x:v>
      </x:c>
    </x:row>
    <x:row r="336">
      <x:c r="A336" s="10" t="n">
        <x:v>46210</x:v>
      </x:c>
      <x:c r="B336" s="11" t="n">
        <x:v>-41.44</x:v>
      </x:c>
      <x:c r="C336" s="9" t="str">
        <x:v>OPENAI *CHATGPT SUBS</x:v>
      </x:c>
      <x:c r="D336" s="9" t="str">
        <x:v>5996</x:v>
      </x:c>
      <x:c r="E336" s="9" t="str">
        <x:v>OPENAI.COM</x:v>
      </x:c>
      <x:c r="F336" s="9" t="str">
        <x:v>449216072006</x:v>
      </x:c>
      <x:c r="G336" s="9" t="str">
        <x:v>POS</x:v>
      </x:c>
      <x:c r="H336" s="9" t="str">
        <x:v>---</x:v>
      </x:c>
      <x:c r="I336" s="9" t="str">
        <x:v>matched</x:v>
      </x:c>
      <x:c r="J336" s="9" t="str">
        <x:v>Use matched TradePilot coding</x:v>
      </x:c>
      <x:c r="K336" s="9" t="str"/>
      <x:c r="L336" s="9" t="str">
        <x:v>4n5irh</x:v>
      </x:c>
      <x:c r="M336" s="9" t="str">
        <x:v>BNZ imported to TradePilot</x:v>
      </x:c>
      <x:c r="N336" s="9" t="str">
        <x:v>See ledger</x:v>
      </x:c>
    </x:row>
    <x:row r="337">
      <x:c r="A337" s="10" t="n">
        <x:v>46210</x:v>
      </x:c>
      <x:c r="B337" s="11" t="n">
        <x:v>-500</x:v>
      </x:c>
      <x:c r="C337" s="9" t="str">
        <x:v>YouMoney</x:v>
      </x:c>
      <x:c r="D337" s="9" t="str"/>
      <x:c r="E337" s="9" t="str"/>
      <x:c r="F337" s="9" t="str">
        <x:v>INTERNET XFR</x:v>
      </x:c>
      <x:c r="G337" s="9" t="str">
        <x:v>FT</x:v>
      </x:c>
      <x:c r="H337" s="9" t="str">
        <x:v>02-0568-0080488-83</x:v>
      </x:c>
      <x:c r="I337" s="9" t="str">
        <x:v>ignored</x:v>
      </x:c>
      <x:c r="J337" s="9" t="str">
        <x:v>Excluded: ignored</x:v>
      </x:c>
      <x:c r="K337" s="9" t="str"/>
      <x:c r="L337" s="9" t="str">
        <x:v>sio423</x:v>
      </x:c>
      <x:c r="M337" s="9" t="str">
        <x:v>BNZ imported to TradePilot</x:v>
      </x:c>
      <x:c r="N337" s="9" t="str">
        <x:v>No</x:v>
      </x:c>
    </x:row>
    <x:row r="338">
      <x:c r="A338" s="10" t="n">
        <x:v>46214</x:v>
      </x:c>
      <x:c r="B338" s="11" t="n">
        <x:v>-28.99</x:v>
      </x:c>
      <x:c r="C338" s="9" t="str">
        <x:v>SPOTIFY</x:v>
      </x:c>
      <x:c r="D338" s="9" t="str">
        <x:v>5996</x:v>
      </x:c>
      <x:c r="E338" s="9" t="str">
        <x:v>STOCKHOLM</x:v>
      </x:c>
      <x:c r="F338" s="9" t="str">
        <x:v>414361111407</x:v>
      </x:c>
      <x:c r="G338" s="9" t="str">
        <x:v>POS</x:v>
      </x:c>
      <x:c r="H338" s="9" t="str">
        <x:v>---</x:v>
      </x:c>
      <x:c r="I338" s="9" t="str">
        <x:v>personal</x:v>
      </x:c>
      <x:c r="J338" s="9" t="str">
        <x:v>Excluded: personal</x:v>
      </x:c>
      <x:c r="K338" s="9" t="str"/>
      <x:c r="L338" s="9" t="str">
        <x:v>scv2th</x:v>
      </x:c>
      <x:c r="M338" s="9" t="str">
        <x:v>BNZ imported to TradePilot</x:v>
      </x:c>
      <x:c r="N338" s="9" t="str">
        <x:v>No</x:v>
      </x:c>
    </x:row>
    <x:row r="339">
      <x:c r="A339" s="10" t="n">
        <x:v>46214</x:v>
      </x:c>
      <x:c r="B339" s="11" t="n">
        <x:v>-200</x:v>
      </x:c>
      <x:c r="C339" s="9" t="str">
        <x:v>YouMoney</x:v>
      </x:c>
      <x:c r="D339" s="9" t="str"/>
      <x:c r="E339" s="9" t="str"/>
      <x:c r="F339" s="9" t="str">
        <x:v>INTERNET XFR</x:v>
      </x:c>
      <x:c r="G339" s="9" t="str">
        <x:v>FT</x:v>
      </x:c>
      <x:c r="H339" s="9" t="str">
        <x:v>02-0568-0080488-83</x:v>
      </x:c>
      <x:c r="I339" s="9" t="str">
        <x:v>ignored</x:v>
      </x:c>
      <x:c r="J339" s="9" t="str">
        <x:v>Excluded: ignored</x:v>
      </x:c>
      <x:c r="K339" s="9" t="str"/>
      <x:c r="L339" s="9" t="str">
        <x:v>fki53n</x:v>
      </x:c>
      <x:c r="M339" s="9" t="str">
        <x:v>BNZ imported to TradePilot</x:v>
      </x:c>
      <x:c r="N339" s="9" t="str">
        <x:v>No</x:v>
      </x:c>
    </x:row>
    <x:row r="340">
      <x:c r="A340" s="10" t="n">
        <x:v>46214</x:v>
      </x:c>
      <x:c r="B340" s="11" t="n">
        <x:v>200</x:v>
      </x:c>
      <x:c r="C340" s="9" t="str">
        <x:v>YouMoney</x:v>
      </x:c>
      <x:c r="D340" s="9" t="str"/>
      <x:c r="E340" s="9" t="str"/>
      <x:c r="F340" s="9" t="str">
        <x:v>INTERNET XFR</x:v>
      </x:c>
      <x:c r="G340" s="9" t="str">
        <x:v>FT</x:v>
      </x:c>
      <x:c r="H340" s="9" t="str">
        <x:v>02-0568-0080488-83</x:v>
      </x:c>
      <x:c r="I340" s="9" t="str">
        <x:v>ignored</x:v>
      </x:c>
      <x:c r="J340" s="9" t="str">
        <x:v>Excluded: ignored</x:v>
      </x:c>
      <x:c r="K340" s="9" t="str"/>
      <x:c r="L340" s="9" t="str">
        <x:v>da3ixs</x:v>
      </x:c>
      <x:c r="M340" s="9" t="str">
        <x:v>BNZ imported to TradePilot</x:v>
      </x:c>
      <x:c r="N340" s="9" t="str">
        <x:v>No</x:v>
      </x:c>
    </x:row>
    <x:row r="341">
      <x:c r="A341" s="10" t="n">
        <x:v>46215</x:v>
      </x:c>
      <x:c r="B341" s="11" t="n">
        <x:v>-69.9</x:v>
      </x:c>
      <x:c r="C341" s="9" t="str">
        <x:v>MITRE 10 MEGA WANAKA</x:v>
      </x:c>
      <x:c r="D341" s="9" t="str">
        <x:v>5996</x:v>
      </x:c>
      <x:c r="E341" s="9" t="str">
        <x:v>WANAKA</x:v>
      </x:c>
      <x:c r="F341" s="9" t="str">
        <x:v>434667120800</x:v>
      </x:c>
      <x:c r="G341" s="9" t="str">
        <x:v>POS</x:v>
      </x:c>
      <x:c r="H341" s="9" t="str">
        <x:v>---</x:v>
      </x:c>
      <x:c r="I341" s="9" t="str">
        <x:v>matched</x:v>
      </x:c>
      <x:c r="J341" s="9" t="str">
        <x:v>Use matched TradePilot coding</x:v>
      </x:c>
      <x:c r="K341" s="9" t="str"/>
      <x:c r="L341" s="9" t="str">
        <x:v>6xpled</x:v>
      </x:c>
      <x:c r="M341" s="9" t="str">
        <x:v>BNZ imported to TradePilot</x:v>
      </x:c>
      <x:c r="N341" s="9" t="str">
        <x:v>See ledger</x:v>
      </x:c>
    </x:row>
    <x:row r="342">
      <x:c r="A342" s="10" t="n">
        <x:v>46215</x:v>
      </x:c>
      <x:c r="B342" s="11" t="n">
        <x:v>70</x:v>
      </x:c>
      <x:c r="C342" s="9" t="str">
        <x:v>YouMoney</x:v>
      </x:c>
      <x:c r="D342" s="9" t="str"/>
      <x:c r="E342" s="9" t="str"/>
      <x:c r="F342" s="9" t="str">
        <x:v>INTERNET XFR</x:v>
      </x:c>
      <x:c r="G342" s="9" t="str">
        <x:v>FT</x:v>
      </x:c>
      <x:c r="H342" s="9" t="str">
        <x:v>02-0568-0080488-83</x:v>
      </x:c>
      <x:c r="I342" s="9" t="str">
        <x:v>ignored</x:v>
      </x:c>
      <x:c r="J342" s="9" t="str">
        <x:v>Excluded: ignored</x:v>
      </x:c>
      <x:c r="K342" s="9" t="str"/>
      <x:c r="L342" s="9" t="str">
        <x:v>5ylm2y</x:v>
      </x:c>
      <x:c r="M342" s="9" t="str">
        <x:v>BNZ imported to TradePilot</x:v>
      </x:c>
      <x:c r="N342" s="9" t="str">
        <x:v>No</x:v>
      </x:c>
    </x:row>
    <x:row r="343">
      <x:c r="A343" s="10" t="n">
        <x:v>46215</x:v>
      </x:c>
      <x:c r="B343" s="11" t="n">
        <x:v>30</x:v>
      </x:c>
      <x:c r="C343" s="9" t="str">
        <x:v>YouMoney</x:v>
      </x:c>
      <x:c r="D343" s="9" t="str"/>
      <x:c r="E343" s="9" t="str"/>
      <x:c r="F343" s="9" t="str">
        <x:v>INTERNET XFR</x:v>
      </x:c>
      <x:c r="G343" s="9" t="str">
        <x:v>FT</x:v>
      </x:c>
      <x:c r="H343" s="9" t="str">
        <x:v>02-0568-0080488-83</x:v>
      </x:c>
      <x:c r="I343" s="9" t="str">
        <x:v>ignored</x:v>
      </x:c>
      <x:c r="J343" s="9" t="str">
        <x:v>Excluded: ignored</x:v>
      </x:c>
      <x:c r="K343" s="9" t="str"/>
      <x:c r="L343" s="9" t="str">
        <x:v>8uuv0u</x:v>
      </x:c>
      <x:c r="M343" s="9" t="str">
        <x:v>BNZ imported to TradePilot</x:v>
      </x:c>
      <x:c r="N343" s="9" t="str">
        <x:v>No</x:v>
      </x:c>
    </x:row>
    <x:row r="344">
      <x:c r="A344" s="10" t="n">
        <x:v>46217</x:v>
      </x:c>
      <x:c r="B344" s="11" t="n">
        <x:v>-99.96</x:v>
      </x:c>
      <x:c r="C344" s="9" t="str">
        <x:v>BP CONNECT WANAKA</x:v>
      </x:c>
      <x:c r="D344" s="9" t="str">
        <x:v>5996</x:v>
      </x:c>
      <x:c r="E344" s="9" t="str">
        <x:v>WANAKA</x:v>
      </x:c>
      <x:c r="F344" s="9" t="str">
        <x:v>492102141450</x:v>
      </x:c>
      <x:c r="G344" s="9" t="str">
        <x:v>POS</x:v>
      </x:c>
      <x:c r="H344" s="9" t="str">
        <x:v>---</x:v>
      </x:c>
      <x:c r="I344" s="9" t="str">
        <x:v>matched</x:v>
      </x:c>
      <x:c r="J344" s="9" t="str">
        <x:v>Use matched TradePilot coding</x:v>
      </x:c>
      <x:c r="K344" s="9" t="str"/>
      <x:c r="L344" s="9" t="str">
        <x:v>yiiopa</x:v>
      </x:c>
      <x:c r="M344" s="9" t="str">
        <x:v>BNZ imported to TradePilot</x:v>
      </x:c>
      <x:c r="N344" s="9" t="str">
        <x:v>See ledger</x:v>
      </x:c>
    </x:row>
    <x:row r="345">
      <x:c r="A345" s="10" t="n">
        <x:v>46217</x:v>
      </x:c>
      <x:c r="B345" s="11" t="n">
        <x:v>200</x:v>
      </x:c>
      <x:c r="C345" s="9" t="str">
        <x:v>YouMoney</x:v>
      </x:c>
      <x:c r="D345" s="9" t="str"/>
      <x:c r="E345" s="9" t="str"/>
      <x:c r="F345" s="9" t="str">
        <x:v>INTERNET XFR</x:v>
      </x:c>
      <x:c r="G345" s="9" t="str">
        <x:v>FT</x:v>
      </x:c>
      <x:c r="H345" s="9" t="str">
        <x:v>02-0568-0080488-83</x:v>
      </x:c>
      <x:c r="I345" s="9" t="str">
        <x:v>ignored</x:v>
      </x:c>
      <x:c r="J345" s="9" t="str">
        <x:v>Excluded: ignored</x:v>
      </x:c>
      <x:c r="K345" s="9" t="str"/>
      <x:c r="L345" s="9" t="str">
        <x:v>td3rq5</x:v>
      </x:c>
      <x:c r="M345" s="9" t="str">
        <x:v>BNZ imported to TradePilot</x:v>
      </x:c>
      <x:c r="N345" s="9" t="str">
        <x:v>No</x:v>
      </x:c>
    </x:row>
    <x:row r="346">
      <x:c r="A346" s="10" t="n">
        <x:v>46217</x:v>
      </x:c>
      <x:c r="B346" s="11" t="n">
        <x:v>-70.77</x:v>
      </x:c>
      <x:c r="C346" s="9" t="str">
        <x:v>AA INSURANCE</x:v>
      </x:c>
      <x:c r="D346" s="9" t="str">
        <x:v>5996</x:v>
      </x:c>
      <x:c r="E346" s="9" t="str">
        <x:v>AUCKLAND</x:v>
      </x:c>
      <x:c r="F346" s="9" t="str">
        <x:v>492102141554</x:v>
      </x:c>
      <x:c r="G346" s="9" t="str">
        <x:v>POS</x:v>
      </x:c>
      <x:c r="H346" s="9" t="str">
        <x:v>---</x:v>
      </x:c>
      <x:c r="I346" s="9" t="str">
        <x:v>matched</x:v>
      </x:c>
      <x:c r="J346" s="9" t="str">
        <x:v>Use matched TradePilot coding</x:v>
      </x:c>
      <x:c r="K346" s="9" t="str"/>
      <x:c r="L346" s="9" t="str">
        <x:v>pujxmm</x:v>
      </x:c>
      <x:c r="M346" s="9" t="str">
        <x:v>BNZ imported to TradePilot</x:v>
      </x:c>
      <x:c r="N346" s="9" t="str">
        <x:v>See ledger</x:v>
      </x:c>
    </x:row>
    <x:row r="347">
      <x:c r="A347" s="10" t="n">
        <x:v>46218</x:v>
      </x:c>
      <x:c r="B347" s="11" t="n">
        <x:v>-1600</x:v>
      </x:c>
      <x:c r="C347" s="9" t="str">
        <x:v>Employees</x:v>
      </x:c>
      <x:c r="D347" s="9" t="str"/>
      <x:c r="E347" s="9" t="str"/>
      <x:c r="F347" s="9" t="str">
        <x:v>INTERNET XFR</x:v>
      </x:c>
      <x:c r="G347" s="9" t="str">
        <x:v>FT</x:v>
      </x:c>
      <x:c r="H347" s="9" t="str">
        <x:v>02-0568-0080488-12</x:v>
      </x:c>
      <x:c r="I347" s="9" t="str">
        <x:v>ignored</x:v>
      </x:c>
      <x:c r="J347" s="9" t="str">
        <x:v>Excluded: ignored</x:v>
      </x:c>
      <x:c r="K347" s="9" t="str"/>
      <x:c r="L347" s="9" t="str">
        <x:v>sagtmc</x:v>
      </x:c>
      <x:c r="M347" s="9" t="str">
        <x:v>BNZ imported to TradePilot</x:v>
      </x:c>
      <x:c r="N347" s="9" t="str">
        <x:v>No</x:v>
      </x:c>
    </x:row>
    <x:row r="348">
      <x:c r="A348" s="10" t="n">
        <x:v>46218</x:v>
      </x:c>
      <x:c r="B348" s="11" t="n">
        <x:v>2638.39</x:v>
      </x:c>
      <x:c r="C348" s="9" t="str">
        <x:v>Home &amp; Co</x:v>
      </x:c>
      <x:c r="D348" s="9" t="str"/>
      <x:c r="E348" s="9" t="str"/>
      <x:c r="F348" s="9" t="str">
        <x:v>Lakesidepain</x:v>
      </x:c>
      <x:c r="G348" s="9" t="str">
        <x:v>DC</x:v>
      </x:c>
      <x:c r="H348" s="9" t="str">
        <x:v>02-0673-0130563-01</x:v>
      </x:c>
      <x:c r="I348" s="9" t="str">
        <x:v>matched</x:v>
      </x:c>
      <x:c r="J348" s="9" t="str">
        <x:v>Use matched TradePilot coding</x:v>
      </x:c>
      <x:c r="K348" s="9" t="str"/>
      <x:c r="L348" s="9" t="str">
        <x:v>ws7doi</x:v>
      </x:c>
      <x:c r="M348" s="9" t="str">
        <x:v>BNZ imported to TradePilot</x:v>
      </x:c>
      <x:c r="N348" s="9" t="str">
        <x:v>See ledger</x:v>
      </x:c>
    </x:row>
    <x:row r="349">
      <x:c r="A349" s="10" t="n">
        <x:v>46218</x:v>
      </x:c>
      <x:c r="B349" s="11" t="n">
        <x:v>-600</x:v>
      </x:c>
      <x:c r="C349" s="9" t="str">
        <x:v>Taxes</x:v>
      </x:c>
      <x:c r="D349" s="9" t="str"/>
      <x:c r="E349" s="9" t="str"/>
      <x:c r="F349" s="9" t="str">
        <x:v>INTERNET XFR</x:v>
      </x:c>
      <x:c r="G349" s="9" t="str">
        <x:v>FT</x:v>
      </x:c>
      <x:c r="H349" s="9" t="str">
        <x:v>02-0568-0080488-09</x:v>
      </x:c>
      <x:c r="I349" s="9" t="str">
        <x:v>ignored</x:v>
      </x:c>
      <x:c r="J349" s="9" t="str">
        <x:v>Excluded: ignored</x:v>
      </x:c>
      <x:c r="K349" s="9" t="str"/>
      <x:c r="L349" s="9" t="str">
        <x:v>h0e3vv</x:v>
      </x:c>
      <x:c r="M349" s="9" t="str">
        <x:v>BNZ imported to TradePilot</x:v>
      </x:c>
      <x:c r="N349" s="9" t="str">
        <x:v>No</x:v>
      </x:c>
    </x:row>
    <x:row r="350">
      <x:c r="A350" s="10" t="n">
        <x:v>46218</x:v>
      </x:c>
      <x:c r="B350" s="11" t="n">
        <x:v>-260</x:v>
      </x:c>
      <x:c r="C350" s="9" t="str">
        <x:v>Savings</x:v>
      </x:c>
      <x:c r="D350" s="9" t="str"/>
      <x:c r="E350" s="9" t="str"/>
      <x:c r="F350" s="9" t="str">
        <x:v>INTERNET XFR</x:v>
      </x:c>
      <x:c r="G350" s="9" t="str">
        <x:v>FT</x:v>
      </x:c>
      <x:c r="H350" s="9" t="str">
        <x:v>02-0568-0080488-10</x:v>
      </x:c>
      <x:c r="I350" s="9" t="str">
        <x:v>ignored</x:v>
      </x:c>
      <x:c r="J350" s="9" t="str">
        <x:v>Excluded: ignored</x:v>
      </x:c>
      <x:c r="K350" s="9" t="str"/>
      <x:c r="L350" s="9" t="str">
        <x:v>a8gtql</x:v>
      </x:c>
      <x:c r="M350" s="9" t="str">
        <x:v>BNZ imported to TradePilot</x:v>
      </x:c>
      <x:c r="N350" s="9" t="str">
        <x:v>No</x:v>
      </x:c>
    </x:row>
    <x:row r="351">
      <x:c r="A351" s="10" t="n">
        <x:v>46219</x:v>
      </x:c>
      <x:c r="B351" s="11" t="n">
        <x:v>-193.73</x:v>
      </x:c>
      <x:c r="C351" s="9" t="str">
        <x:v>ONE NZ</x:v>
      </x:c>
      <x:c r="D351" s="9" t="str">
        <x:v>5996</x:v>
      </x:c>
      <x:c r="E351" s="9" t="str">
        <x:v>AUCKLAND</x:v>
      </x:c>
      <x:c r="F351" s="9" t="str">
        <x:v>432129161240</x:v>
      </x:c>
      <x:c r="G351" s="9" t="str">
        <x:v>POS</x:v>
      </x:c>
      <x:c r="H351" s="9" t="str">
        <x:v>---</x:v>
      </x:c>
      <x:c r="I351" s="9" t="str">
        <x:v>matched</x:v>
      </x:c>
      <x:c r="J351" s="9" t="str">
        <x:v>Use matched TradePilot coding</x:v>
      </x:c>
      <x:c r="K351" s="9" t="str"/>
      <x:c r="L351" s="9" t="str">
        <x:v>unfnxv</x:v>
      </x:c>
      <x:c r="M351" s="9" t="str">
        <x:v>BNZ imported to TradePilot</x:v>
      </x:c>
      <x:c r="N351" s="9" t="str">
        <x:v>See ledger</x:v>
      </x:c>
    </x:row>
    <x:row r="352">
      <x:c r="A352" s="10" t="n">
        <x:v>46220</x:v>
      </x:c>
      <x:c r="B352" s="11" t="n">
        <x:v>2777.25</x:v>
      </x:c>
      <x:c r="C352" s="9" t="str">
        <x:v>NICHOLSON  TD &amp;</x:v>
      </x:c>
      <x:c r="D352" s="9" t="str">
        <x:v>4 perrow st</x:v>
      </x:c>
      <x:c r="E352" s="9" t="str">
        <x:v>INV-J20_F</x:v>
      </x:c>
      <x:c r="F352" s="9" t="str">
        <x:v>Nicholson</x:v>
      </x:c>
      <x:c r="G352" s="9" t="str">
        <x:v>BP</x:v>
      </x:c>
      <x:c r="H352" s="9" t="str">
        <x:v>02-1269-0043681-01</x:v>
      </x:c>
      <x:c r="I352" s="9" t="str">
        <x:v>matched</x:v>
      </x:c>
      <x:c r="J352" s="9" t="str">
        <x:v>Use matched TradePilot coding</x:v>
      </x:c>
      <x:c r="K352" s="9" t="str"/>
      <x:c r="L352" s="9" t="str">
        <x:v>fk5jsq</x:v>
      </x:c>
      <x:c r="M352" s="9" t="str">
        <x:v>BNZ imported to TradePilot</x:v>
      </x:c>
      <x:c r="N352" s="9" t="str">
        <x:v>See ledger</x:v>
      </x:c>
    </x:row>
    <x:row r="353">
      <x:c r="A353" s="10" t="n">
        <x:v>46220</x:v>
      </x:c>
      <x:c r="B353" s="11" t="n">
        <x:v>-7.98</x:v>
      </x:c>
      <x:c r="C353" s="9" t="str">
        <x:v>Four Square Albertto</x:v>
      </x:c>
      <x:c r="D353" s="9" t="str">
        <x:v>5996</x:v>
      </x:c>
      <x:c r="E353" s="9" t="str">
        <x:v>Wanaka</x:v>
      </x:c>
      <x:c r="F353" s="9" t="str">
        <x:v>420549171624</x:v>
      </x:c>
      <x:c r="G353" s="9" t="str">
        <x:v>POS</x:v>
      </x:c>
      <x:c r="H353" s="9" t="str">
        <x:v>---</x:v>
      </x:c>
      <x:c r="I353" s="9" t="str">
        <x:v>ignored</x:v>
      </x:c>
      <x:c r="J353" s="9" t="str">
        <x:v>Excluded: ignored</x:v>
      </x:c>
      <x:c r="K353" s="9" t="str"/>
      <x:c r="L353" s="9" t="str">
        <x:v>q9qibj</x:v>
      </x:c>
      <x:c r="M353" s="9" t="str">
        <x:v>BNZ imported to TradePilot</x:v>
      </x:c>
      <x:c r="N353" s="9" t="str">
        <x:v>No</x:v>
      </x:c>
    </x:row>
    <x:row r="354">
      <x:c r="A354" s="10" t="n">
        <x:v>46220</x:v>
      </x:c>
      <x:c r="B354" s="11" t="n">
        <x:v>-2.5</x:v>
      </x:c>
      <x:c r="C354" s="9" t="str">
        <x:v>Liquorland Albert To</x:v>
      </x:c>
      <x:c r="D354" s="9" t="str">
        <x:v>5996</x:v>
      </x:c>
      <x:c r="E354" s="9" t="str">
        <x:v>Wanaka</x:v>
      </x:c>
      <x:c r="F354" s="9" t="str">
        <x:v>420549171622</x:v>
      </x:c>
      <x:c r="G354" s="9" t="str">
        <x:v>POS</x:v>
      </x:c>
      <x:c r="H354" s="9" t="str">
        <x:v>---</x:v>
      </x:c>
      <x:c r="I354" s="9" t="str">
        <x:v>ignored</x:v>
      </x:c>
      <x:c r="J354" s="9" t="str">
        <x:v>Excluded: ignored</x:v>
      </x:c>
      <x:c r="K354" s="9" t="str"/>
      <x:c r="L354" s="9" t="str">
        <x:v>1gxxra</x:v>
      </x:c>
      <x:c r="M354" s="9" t="str">
        <x:v>BNZ imported to TradePilot</x:v>
      </x:c>
      <x:c r="N354" s="9" t="str">
        <x:v>No</x:v>
      </x:c>
    </x:row>
    <x:row r="355">
      <x:c r="A355" s="10" t="n">
        <x:v>46220</x:v>
      </x:c>
      <x:c r="B355" s="11" t="n">
        <x:v>-42.99</x:v>
      </x:c>
      <x:c r="C355" s="9" t="str">
        <x:v>Liquorland Albert To</x:v>
      </x:c>
      <x:c r="D355" s="9" t="str">
        <x:v>5996</x:v>
      </x:c>
      <x:c r="E355" s="9" t="str">
        <x:v>Wanaka</x:v>
      </x:c>
      <x:c r="F355" s="9" t="str">
        <x:v>420549171622</x:v>
      </x:c>
      <x:c r="G355" s="9" t="str">
        <x:v>POS</x:v>
      </x:c>
      <x:c r="H355" s="9" t="str">
        <x:v>---</x:v>
      </x:c>
      <x:c r="I355" s="9" t="str">
        <x:v>ignored</x:v>
      </x:c>
      <x:c r="J355" s="9" t="str">
        <x:v>Excluded: ignored</x:v>
      </x:c>
      <x:c r="K355" s="9" t="str"/>
      <x:c r="L355" s="9" t="str">
        <x:v>ge66p1</x:v>
      </x:c>
      <x:c r="M355" s="9" t="str">
        <x:v>BNZ imported to TradePilot</x:v>
      </x:c>
      <x:c r="N355" s="9" t="str">
        <x:v>No</x:v>
      </x:c>
    </x:row>
    <x:row r="356">
      <x:c r="A356" s="10" t="n">
        <x:v>46220</x:v>
      </x:c>
      <x:c r="B356" s="11" t="n">
        <x:v>-150</x:v>
      </x:c>
      <x:c r="C356" s="9" t="str">
        <x:v>House</x:v>
      </x:c>
      <x:c r="D356" s="9" t="str"/>
      <x:c r="E356" s="9" t="str"/>
      <x:c r="F356" s="9" t="str">
        <x:v>INTERNET XFR</x:v>
      </x:c>
      <x:c r="G356" s="9" t="str">
        <x:v>FT</x:v>
      </x:c>
      <x:c r="H356" s="9" t="str">
        <x:v>02-0568-0080488-11</x:v>
      </x:c>
      <x:c r="I356" s="9" t="str">
        <x:v>ignored</x:v>
      </x:c>
      <x:c r="J356" s="9" t="str">
        <x:v>Excluded: ignored</x:v>
      </x:c>
      <x:c r="K356" s="9" t="str"/>
      <x:c r="L356" s="9" t="str">
        <x:v>qvmxje</x:v>
      </x:c>
      <x:c r="M356" s="9" t="str">
        <x:v>BNZ imported to TradePilot</x:v>
      </x:c>
      <x:c r="N356" s="9" t="str">
        <x:v>No</x:v>
      </x:c>
    </x:row>
    <x:row r="357">
      <x:c r="A357" s="10" t="n">
        <x:v>46220</x:v>
      </x:c>
      <x:c r="B357" s="11" t="n">
        <x:v>-200</x:v>
      </x:c>
      <x:c r="C357" s="9" t="str">
        <x:v>Taxes</x:v>
      </x:c>
      <x:c r="D357" s="9" t="str"/>
      <x:c r="E357" s="9" t="str"/>
      <x:c r="F357" s="9" t="str">
        <x:v>INTERNET XFR</x:v>
      </x:c>
      <x:c r="G357" s="9" t="str">
        <x:v>FT</x:v>
      </x:c>
      <x:c r="H357" s="9" t="str">
        <x:v>02-0568-0080488-09</x:v>
      </x:c>
      <x:c r="I357" s="9" t="str">
        <x:v>ignored</x:v>
      </x:c>
      <x:c r="J357" s="9" t="str">
        <x:v>Excluded: ignored</x:v>
      </x:c>
      <x:c r="K357" s="9" t="str"/>
      <x:c r="L357" s="9" t="str">
        <x:v>ljg52l</x:v>
      </x:c>
      <x:c r="M357" s="9" t="str">
        <x:v>BNZ imported to TradePilot</x:v>
      </x:c>
      <x:c r="N357" s="9" t="str">
        <x:v>No</x:v>
      </x:c>
    </x:row>
    <x:row r="358">
      <x:c r="A358" s="10" t="n">
        <x:v>46220</x:v>
      </x:c>
      <x:c r="B358" s="11" t="n">
        <x:v>-240</x:v>
      </x:c>
      <x:c r="C358" s="9" t="str">
        <x:v>Savings</x:v>
      </x:c>
      <x:c r="D358" s="9" t="str"/>
      <x:c r="E358" s="9" t="str"/>
      <x:c r="F358" s="9" t="str">
        <x:v>INTERNET XFR</x:v>
      </x:c>
      <x:c r="G358" s="9" t="str">
        <x:v>FT</x:v>
      </x:c>
      <x:c r="H358" s="9" t="str">
        <x:v>02-0568-0080488-10</x:v>
      </x:c>
      <x:c r="I358" s="9" t="str">
        <x:v>ignored</x:v>
      </x:c>
      <x:c r="J358" s="9" t="str">
        <x:v>Excluded: ignored</x:v>
      </x:c>
      <x:c r="K358" s="9" t="str"/>
      <x:c r="L358" s="9" t="str">
        <x:v>t00sj7</x:v>
      </x:c>
      <x:c r="M358" s="9" t="str">
        <x:v>BNZ imported to TradePilot</x:v>
      </x:c>
      <x:c r="N358" s="9" t="str">
        <x:v>No</x:v>
      </x:c>
    </x:row>
    <x:row r="359">
      <x:c r="A359" s="10" t="n">
        <x:v>46221</x:v>
      </x:c>
      <x:c r="B359" s="11" t="n">
        <x:v>68</x:v>
      </x:c>
      <x:c r="C359" s="9" t="str">
        <x:v>House</x:v>
      </x:c>
      <x:c r="D359" s="9" t="str"/>
      <x:c r="E359" s="9" t="str"/>
      <x:c r="F359" s="9" t="str">
        <x:v>INTERNET XFR</x:v>
      </x:c>
      <x:c r="G359" s="9" t="str">
        <x:v>FT</x:v>
      </x:c>
      <x:c r="H359" s="9" t="str">
        <x:v>02-0568-0080488-11</x:v>
      </x:c>
      <x:c r="I359" s="9" t="str">
        <x:v>ignored</x:v>
      </x:c>
      <x:c r="J359" s="9" t="str">
        <x:v>Excluded: ignored</x:v>
      </x:c>
      <x:c r="K359" s="9" t="str"/>
      <x:c r="L359" s="9" t="str">
        <x:v>ythiny</x:v>
      </x:c>
      <x:c r="M359" s="9" t="str">
        <x:v>BNZ imported to TradePilot</x:v>
      </x:c>
      <x:c r="N359" s="9" t="str">
        <x:v>No</x:v>
      </x:c>
    </x:row>
    <x:row r="360">
      <x:c r="A360" s="10" t="n">
        <x:v>46221</x:v>
      </x:c>
      <x:c r="B360" s="11" t="n">
        <x:v>-500</x:v>
      </x:c>
      <x:c r="C360" s="9" t="str">
        <x:v>YouMoney</x:v>
      </x:c>
      <x:c r="D360" s="9" t="str"/>
      <x:c r="E360" s="9" t="str"/>
      <x:c r="F360" s="9" t="str">
        <x:v>INTERNET XFR</x:v>
      </x:c>
      <x:c r="G360" s="9" t="str">
        <x:v>FT</x:v>
      </x:c>
      <x:c r="H360" s="9" t="str">
        <x:v>02-0568-0080488-83</x:v>
      </x:c>
      <x:c r="I360" s="9" t="str">
        <x:v>ignored</x:v>
      </x:c>
      <x:c r="J360" s="9" t="str">
        <x:v>Excluded: ignored</x:v>
      </x:c>
      <x:c r="K360" s="9" t="str"/>
      <x:c r="L360" s="9" t="str">
        <x:v>4dvfx3</x:v>
      </x:c>
      <x:c r="M360" s="9" t="str">
        <x:v>BNZ imported to TradePilot</x:v>
      </x:c>
      <x:c r="N360" s="9" t="str">
        <x:v>No</x:v>
      </x:c>
    </x:row>
    <x:row r="361">
      <x:c r="A361" s="10" t="n">
        <x:v>46223</x:v>
      </x:c>
      <x:c r="B361" s="11" t="n">
        <x:v>-138</x:v>
      </x:c>
      <x:c r="C361" s="9" t="str">
        <x:v>Caroline Wigg</x:v>
      </x:c>
      <x:c r="D361" s="9" t="str"/>
      <x:c r="E361" s="9" t="str"/>
      <x:c r="F361" s="9" t="str"/>
      <x:c r="G361" s="9" t="str">
        <x:v>BP</x:v>
      </x:c>
      <x:c r="H361" s="9" t="str">
        <x:v>03-1739-0039020-01</x:v>
      </x:c>
      <x:c r="I361" s="9" t="str">
        <x:v>matched</x:v>
      </x:c>
      <x:c r="J361" s="9" t="str">
        <x:v>Use matched TradePilot coding</x:v>
      </x:c>
      <x:c r="K361" s="9" t="str"/>
      <x:c r="L361" s="9" t="str">
        <x:v>t4e8cs</x:v>
      </x:c>
      <x:c r="M361" s="9" t="str">
        <x:v>BNZ imported to TradePilot</x:v>
      </x:c>
      <x:c r="N361" s="9" t="str">
        <x:v>See ledger</x:v>
      </x:c>
    </x:row>
    <x:row r="362">
      <x:c r="A362" s="10" t="n">
        <x:v>46223</x:v>
      </x:c>
      <x:c r="B362" s="11" t="n">
        <x:v>-347.9</x:v>
      </x:c>
      <x:c r="C362" s="9" t="str">
        <x:v>WWW.TRADEMAX.CO.NZ</x:v>
      </x:c>
      <x:c r="D362" s="9" t="str">
        <x:v>5996</x:v>
      </x:c>
      <x:c r="E362" s="9" t="str">
        <x:v>DUNEDIN</x:v>
      </x:c>
      <x:c r="F362" s="9" t="str">
        <x:v>448131191159</x:v>
      </x:c>
      <x:c r="G362" s="9" t="str">
        <x:v>POS</x:v>
      </x:c>
      <x:c r="H362" s="9" t="str">
        <x:v>---</x:v>
      </x:c>
      <x:c r="I362" s="9" t="str">
        <x:v>matched</x:v>
      </x:c>
      <x:c r="J362" s="9" t="str">
        <x:v>Use matched TradePilot coding</x:v>
      </x:c>
      <x:c r="K362" s="9" t="str"/>
      <x:c r="L362" s="9" t="str">
        <x:v>qrf08f</x:v>
      </x:c>
      <x:c r="M362" s="9" t="str">
        <x:v>BNZ imported to TradePilot</x:v>
      </x:c>
      <x:c r="N362" s="9" t="str">
        <x:v>See ledger</x:v>
      </x:c>
    </x:row>
    <x:row r="363">
      <x:c r="A363" s="10" t="n">
        <x:v>46223</x:v>
      </x:c>
      <x:c r="B363" s="11" t="n">
        <x:v>-498.52</x:v>
      </x:c>
      <x:c r="C363" s="9" t="str">
        <x:v>Dulux</x:v>
      </x:c>
      <x:c r="D363" s="9" t="str"/>
      <x:c r="E363" s="9" t="str"/>
      <x:c r="F363" s="9" t="str"/>
      <x:c r="G363" s="9" t="str">
        <x:v>BP</x:v>
      </x:c>
      <x:c r="H363" s="9" t="str">
        <x:v>03-0502-0287662-00</x:v>
      </x:c>
      <x:c r="I363" s="9" t="str">
        <x:v>matched</x:v>
      </x:c>
      <x:c r="J363" s="9" t="str">
        <x:v>Use matched TradePilot coding</x:v>
      </x:c>
      <x:c r="K363" s="9" t="str"/>
      <x:c r="L363" s="9" t="str">
        <x:v>nnw3wb</x:v>
      </x:c>
      <x:c r="M363" s="9" t="str">
        <x:v>BNZ imported to TradePilot</x:v>
      </x:c>
      <x:c r="N363" s="9" t="str">
        <x:v>See ledger</x:v>
      </x:c>
    </x:row>
    <x:row r="364">
      <x:c r="A364" s="10" t="n">
        <x:v>46224</x:v>
      </x:c>
      <x:c r="B364" s="11" t="n">
        <x:v>-4.99</x:v>
      </x:c>
      <x:c r="C364" s="9" t="str">
        <x:v>SUPPORT LOCAL</x:v>
      </x:c>
      <x:c r="D364" s="9" t="str">
        <x:v>5996</x:v>
      </x:c>
      <x:c r="E364" s="9" t="str">
        <x:v>AUCKLAND</x:v>
      </x:c>
      <x:c r="F364" s="9" t="str">
        <x:v>448131211553</x:v>
      </x:c>
      <x:c r="G364" s="9" t="str">
        <x:v>POS</x:v>
      </x:c>
      <x:c r="H364" s="9" t="str">
        <x:v>---</x:v>
      </x:c>
      <x:c r="I364" s="9" t="str">
        <x:v>ignored</x:v>
      </x:c>
      <x:c r="J364" s="9" t="str">
        <x:v>Excluded: ignored</x:v>
      </x:c>
      <x:c r="K364" s="9" t="str"/>
      <x:c r="L364" s="9" t="str">
        <x:v>ieeyi7</x:v>
      </x:c>
      <x:c r="M364" s="9" t="str">
        <x:v>BNZ imported to TradePilot</x:v>
      </x:c>
      <x:c r="N364" s="9" t="str">
        <x:v>No</x:v>
      </x:c>
    </x:row>
    <x:row r="365">
      <x:c r="A365" s="10" t="n">
        <x:v>46225</x:v>
      </x:c>
      <x:c r="B365" s="11" t="n">
        <x:v>-1455.12</x:v>
      </x:c>
      <x:c r="C365" s="9" t="str">
        <x:v>SUSANA ECHEVERRI</x:v>
      </x:c>
      <x:c r="D365" s="9" t="str"/>
      <x:c r="E365" s="9" t="str"/>
      <x:c r="F365" s="9" t="str"/>
      <x:c r="G365" s="9" t="str">
        <x:v>BP</x:v>
      </x:c>
      <x:c r="H365" s="9" t="str">
        <x:v>02-0673-0190646-00</x:v>
      </x:c>
      <x:c r="I365" s="9" t="str">
        <x:v>matched</x:v>
      </x:c>
      <x:c r="J365" s="9" t="str">
        <x:v>Use matched TradePilot coding</x:v>
      </x:c>
      <x:c r="K365" s="9" t="str"/>
      <x:c r="L365" s="9" t="str">
        <x:v>q37uop</x:v>
      </x:c>
      <x:c r="M365" s="9" t="str">
        <x:v>BNZ imported to TradePilot</x:v>
      </x:c>
      <x:c r="N365" s="9" t="str">
        <x:v>See ledger</x:v>
      </x:c>
    </x:row>
    <x:row r="366">
      <x:c r="A366" s="10" t="n">
        <x:v>46225</x:v>
      </x:c>
      <x:c r="B366" s="11" t="n">
        <x:v>1455.12</x:v>
      </x:c>
      <x:c r="C366" s="9" t="str">
        <x:v>Employees</x:v>
      </x:c>
      <x:c r="D366" s="9" t="str"/>
      <x:c r="E366" s="9" t="str"/>
      <x:c r="F366" s="9" t="str">
        <x:v>INTERNET XFR</x:v>
      </x:c>
      <x:c r="G366" s="9" t="str">
        <x:v>FT</x:v>
      </x:c>
      <x:c r="H366" s="9" t="str">
        <x:v>02-0568-0080488-12</x:v>
      </x:c>
      <x:c r="I366" s="9" t="str">
        <x:v>ignored</x:v>
      </x:c>
      <x:c r="J366" s="9" t="str">
        <x:v>Excluded: ignored</x:v>
      </x:c>
      <x:c r="K366" s="9" t="str"/>
      <x:c r="L366" s="9" t="str">
        <x:v>cpdor4</x:v>
      </x:c>
      <x:c r="M366" s="9" t="str">
        <x:v>BNZ imported to TradePilot</x:v>
      </x:c>
      <x:c r="N366" s="9" t="str">
        <x:v>No</x:v>
      </x:c>
    </x:row>
    <x:row r="367">
      <x:c r="A367" s="10" t="n">
        <x:v>46227</x:v>
      </x:c>
      <x:c r="B367" s="11" t="n">
        <x:v>-99.78</x:v>
      </x:c>
      <x:c r="C367" s="9" t="str">
        <x:v>BP CONNECT WANAKA</x:v>
      </x:c>
      <x:c r="D367" s="9" t="str">
        <x:v>5996</x:v>
      </x:c>
      <x:c r="E367" s="9" t="str">
        <x:v>WANAKA</x:v>
      </x:c>
      <x:c r="F367" s="9" t="str">
        <x:v>492102241645</x:v>
      </x:c>
      <x:c r="G367" s="9" t="str">
        <x:v>POS</x:v>
      </x:c>
      <x:c r="H367" s="9" t="str">
        <x:v>---</x:v>
      </x:c>
      <x:c r="I367" s="9" t="str">
        <x:v>matched</x:v>
      </x:c>
      <x:c r="J367" s="9" t="str">
        <x:v>Use matched TradePilot coding</x:v>
      </x:c>
      <x:c r="K367" s="9" t="str"/>
      <x:c r="L367" s="9" t="str">
        <x:v>kkdvpy</x:v>
      </x:c>
      <x:c r="M367" s="9" t="str">
        <x:v>BNZ imported to TradePilot</x:v>
      </x:c>
      <x:c r="N367" s="9" t="str">
        <x:v>See ledger</x:v>
      </x:c>
    </x:row>
    <x:row r="368">
      <x:c r="A368" s="10" t="n">
        <x:v>46230</x:v>
      </x:c>
      <x:c r="B368" s="11" t="n">
        <x:v>-100</x:v>
      </x:c>
      <x:c r="C368" s="9" t="str">
        <x:v>Taxes</x:v>
      </x:c>
      <x:c r="D368" s="9" t="str"/>
      <x:c r="E368" s="9" t="str"/>
      <x:c r="F368" s="9" t="str">
        <x:v>INTERNET XFR</x:v>
      </x:c>
      <x:c r="G368" s="9" t="str">
        <x:v>FT</x:v>
      </x:c>
      <x:c r="H368" s="9" t="str">
        <x:v>02-0568-0080488-09</x:v>
      </x:c>
      <x:c r="I368" s="9" t="str">
        <x:v>ignored</x:v>
      </x:c>
      <x:c r="J368" s="9" t="str">
        <x:v>Excluded: ignored</x:v>
      </x:c>
      <x:c r="K368" s="9" t="str"/>
      <x:c r="L368" s="9" t="str">
        <x:v>7zzhsj</x:v>
      </x:c>
      <x:c r="M368" s="9" t="str">
        <x:v>BNZ imported to TradePilot</x:v>
      </x:c>
      <x:c r="N368" s="9" t="str">
        <x:v>No</x:v>
      </x:c>
    </x:row>
    <x:row r="369">
      <x:c r="A369" s="10" t="n">
        <x:v>46230</x:v>
      </x:c>
      <x:c r="B369" s="11" t="n">
        <x:v>-500</x:v>
      </x:c>
      <x:c r="C369" s="9" t="str">
        <x:v>YouMoney</x:v>
      </x:c>
      <x:c r="D369" s="9" t="str"/>
      <x:c r="E369" s="9" t="str"/>
      <x:c r="F369" s="9" t="str">
        <x:v>INTERNET XFR</x:v>
      </x:c>
      <x:c r="G369" s="9" t="str">
        <x:v>FT</x:v>
      </x:c>
      <x:c r="H369" s="9" t="str">
        <x:v>02-0568-0080488-83</x:v>
      </x:c>
      <x:c r="I369" s="9" t="str">
        <x:v>ignored</x:v>
      </x:c>
      <x:c r="J369" s="9" t="str">
        <x:v>Excluded: ignored</x:v>
      </x:c>
      <x:c r="K369" s="9" t="str"/>
      <x:c r="L369" s="9" t="str">
        <x:v>iyp955</x:v>
      </x:c>
      <x:c r="M369" s="9" t="str">
        <x:v>BNZ imported to TradePilot</x:v>
      </x:c>
      <x:c r="N369" s="9" t="str">
        <x:v>No</x:v>
      </x:c>
    </x:row>
    <x:row r="370">
      <x:c r="A370" s="10" t="n">
        <x:v>46230</x:v>
      </x:c>
      <x:c r="B370" s="11" t="n">
        <x:v>518.36</x:v>
      </x:c>
      <x:c r="C370" s="9" t="str">
        <x:v>The NN Trust</x:v>
      </x:c>
      <x:c r="D370" s="9" t="str">
        <x:v>Foreman</x:v>
      </x:c>
      <x:c r="E370" s="9" t="str"/>
      <x:c r="F370" s="9" t="str">
        <x:v>inv Q052 D</x:v>
      </x:c>
      <x:c r="G370" s="9" t="str">
        <x:v>BP</x:v>
      </x:c>
      <x:c r="H370" s="9" t="str">
        <x:v>02-0948-0221705-10</x:v>
      </x:c>
      <x:c r="I370" s="9" t="str">
        <x:v>matched</x:v>
      </x:c>
      <x:c r="J370" s="9" t="str">
        <x:v>Use matched TradePilot coding</x:v>
      </x:c>
      <x:c r="K370" s="9" t="str"/>
      <x:c r="L370" s="9" t="str">
        <x:v>f5plvm</x:v>
      </x:c>
      <x:c r="M370" s="9" t="str">
        <x:v>BNZ imported to TradePilot</x:v>
      </x:c>
      <x:c r="N370" s="9" t="str">
        <x:v>See ledger</x:v>
      </x:c>
    </x:row>
    <x:row r="371">
      <x:c r="A371" s="10" t="n">
        <x:v>46231</x:v>
      </x:c>
      <x:c r="B371" s="11" t="n">
        <x:v>-46.95</x:v>
      </x:c>
      <x:c r="C371" s="9" t="str">
        <x:v>PAPER PLUS WANAKA</x:v>
      </x:c>
      <x:c r="D371" s="9" t="str">
        <x:v>5996</x:v>
      </x:c>
      <x:c r="E371" s="9" t="str">
        <x:v>WANAKA</x:v>
      </x:c>
      <x:c r="F371" s="9" t="str">
        <x:v>455046281550</x:v>
      </x:c>
      <x:c r="G371" s="9" t="str">
        <x:v>POS</x:v>
      </x:c>
      <x:c r="H371" s="9" t="str">
        <x:v>---</x:v>
      </x:c>
      <x:c r="I371" s="9" t="str">
        <x:v>matched</x:v>
      </x:c>
      <x:c r="J371" s="9" t="str">
        <x:v>Use matched TradePilot coding</x:v>
      </x:c>
      <x:c r="K371" s="9" t="str"/>
      <x:c r="L371" s="9" t="str">
        <x:v>38lex6</x:v>
      </x:c>
      <x:c r="M371" s="9" t="str">
        <x:v>BNZ imported to TradePilot</x:v>
      </x:c>
      <x:c r="N371" s="9" t="str">
        <x:v>See ledger</x:v>
      </x:c>
    </x:row>
    <x:row r="372">
      <x:c r="A372" s="10" t="n">
        <x:v>46231</x:v>
      </x:c>
      <x:c r="B372" s="11" t="n">
        <x:v>450</x:v>
      </x:c>
      <x:c r="C372" s="9" t="str">
        <x:v>CREONTE TAHUNA</x:v>
      </x:c>
      <x:c r="D372" s="9" t="str">
        <x:v>Creonte</x:v>
      </x:c>
      <x:c r="E372" s="9" t="str">
        <x:v>Tahuna</x:v>
      </x:c>
      <x:c r="F372" s="9" t="str">
        <x:v>160726</x:v>
      </x:c>
      <x:c r="G372" s="9" t="str">
        <x:v>BP</x:v>
      </x:c>
      <x:c r="H372" s="9" t="str">
        <x:v>02-0673-0177943-00</x:v>
      </x:c>
      <x:c r="I372" s="9" t="str">
        <x:v>ignored</x:v>
      </x:c>
      <x:c r="J372" s="9" t="str">
        <x:v>Excluded: ignored</x:v>
      </x:c>
      <x:c r="K372" s="9" t="str"/>
      <x:c r="L372" s="9" t="str">
        <x:v>w3z2o8</x:v>
      </x:c>
      <x:c r="M372" s="9" t="str">
        <x:v>BNZ imported to TradePilot</x:v>
      </x:c>
      <x:c r="N372" s="9" t="str">
        <x:v>No</x:v>
      </x:c>
    </x:row>
    <x:row r="373">
      <x:c r="A373" s="10" t="n">
        <x:v>46233</x:v>
      </x:c>
      <x:c r="B373" s="11" t="n">
        <x:v>-200</x:v>
      </x:c>
      <x:c r="C373" s="9" t="str">
        <x:v>ANTHROPIC* CLAUDE SU</x:v>
      </x:c>
      <x:c r="D373" s="9" t="str">
        <x:v>5996</x:v>
      </x:c>
      <x:c r="E373" s="9" t="str">
        <x:v>ANTHROPIC.CO</x:v>
      </x:c>
      <x:c r="F373" s="9" t="str">
        <x:v>401134302133</x:v>
      </x:c>
      <x:c r="G373" s="9" t="str">
        <x:v>POS</x:v>
      </x:c>
      <x:c r="H373" s="9" t="str">
        <x:v>---</x:v>
      </x:c>
      <x:c r="I373" s="9" t="str">
        <x:v>matched</x:v>
      </x:c>
      <x:c r="J373" s="9" t="str">
        <x:v>Use matched TradePilot coding</x:v>
      </x:c>
      <x:c r="K373" s="9" t="str"/>
      <x:c r="L373" s="9" t="str">
        <x:v>l7m7te</x:v>
      </x:c>
      <x:c r="M373" s="9" t="str">
        <x:v>BNZ imported to TradePilot</x:v>
      </x:c>
      <x:c r="N373" s="9" t="str">
        <x:v>See ledger</x:v>
      </x:c>
    </x:row>
    <x:row r="374">
      <x:c r="A374" s="10" t="n">
        <x:v>46233</x:v>
      </x:c>
      <x:c r="B374" s="11" t="n">
        <x:v>-16.99</x:v>
      </x:c>
      <x:c r="C374" s="9" t="str">
        <x:v>NOEL LEEMING 3X WANA</x:v>
      </x:c>
      <x:c r="D374" s="9" t="str">
        <x:v>5996</x:v>
      </x:c>
      <x:c r="E374" s="9" t="str">
        <x:v>WANAKA</x:v>
      </x:c>
      <x:c r="F374" s="9" t="str">
        <x:v>434667301149</x:v>
      </x:c>
      <x:c r="G374" s="9" t="str">
        <x:v>POS</x:v>
      </x:c>
      <x:c r="H374" s="9" t="str">
        <x:v>---</x:v>
      </x:c>
      <x:c r="I374" s="9" t="str">
        <x:v>matched</x:v>
      </x:c>
      <x:c r="J374" s="9" t="str">
        <x:v>Use matched TradePilot coding</x:v>
      </x:c>
      <x:c r="K374" s="9" t="str"/>
      <x:c r="L374" s="9" t="str">
        <x:v>or1vdn</x:v>
      </x:c>
      <x:c r="M374" s="9" t="str">
        <x:v>BNZ imported to TradePilot</x:v>
      </x:c>
      <x:c r="N374" s="9" t="str">
        <x:v>See ledger</x:v>
      </x:c>
    </x:row>
    <x:row r="375">
      <x:c r="A375" s="10" t="n">
        <x:v>46233</x:v>
      </x:c>
      <x:c r="B375" s="11" t="n">
        <x:v>-45.99</x:v>
      </x:c>
      <x:c r="C375" s="9" t="str">
        <x:v>GODADDY*#4149821829</x:v>
      </x:c>
      <x:c r="D375" s="9" t="str">
        <x:v>5996</x:v>
      </x:c>
      <x:c r="E375" s="9" t="str">
        <x:v>310858883143</x:v>
      </x:c>
      <x:c r="F375" s="9" t="str">
        <x:v>431326301723</x:v>
      </x:c>
      <x:c r="G375" s="9" t="str">
        <x:v>POS</x:v>
      </x:c>
      <x:c r="H375" s="9" t="str">
        <x:v>---</x:v>
      </x:c>
      <x:c r="I375" s="9" t="str">
        <x:v>matched</x:v>
      </x:c>
      <x:c r="J375" s="9" t="str">
        <x:v>Use matched TradePilot coding</x:v>
      </x:c>
      <x:c r="K375" s="9" t="str"/>
      <x:c r="L375" s="9" t="str">
        <x:v>7asofm</x:v>
      </x:c>
      <x:c r="M375" s="9" t="str">
        <x:v>BNZ imported to TradePilot</x:v>
      </x:c>
      <x:c r="N375" s="9" t="str">
        <x:v>See ledger</x:v>
      </x:c>
    </x:row>
  </x:sheetData>
  <x:mergeCells>
    <x:mergeCell ref="A1:N1"/>
  </x:mergeCells>
  <x:conditionalFormatting sqref="J3:J375">
    <x:cfRule type="expression" dxfId="2" priority="1">
      <x:formula>ISNUMBER(SEARCH("Review",J3))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76.22000122070312" hidden="0" customWidth="1"/>
    <x:col min="4" max="4" width="76.22000122070312" hidden="0" customWidth="1"/>
    <x:col min="5" max="5" width="58" hidden="0" customWidth="1"/>
  </x:cols>
  <x:sheetData>
    <x:row r="1" ht="32" customHeight="1">
      <x:c r="A1" s="3" t="str">
        <x:v>Key GST questions · only these materially need Brad's input</x:v>
      </x:c>
      <x:c r="B1" s="3" t="str">
        <x:v>Key GST questions · only these materially need Brad's input</x:v>
      </x:c>
      <x:c r="C1" s="3" t="str">
        <x:v>Key GST questions · only these materially need Brad's input</x:v>
      </x:c>
      <x:c r="D1" s="3" t="str">
        <x:v>Key GST questions · only these materially need Brad's input</x:v>
      </x:c>
      <x:c r="E1" s="3" t="str">
        <x:v>Key GST questions · only these materially need Brad's input</x:v>
      </x:c>
    </x:row>
    <x:row r="2">
      <x:c r="A2" s="7" t="str">
        <x:v>Item</x:v>
      </x:c>
      <x:c r="B2" s="7" t="str">
        <x:v>What the records show</x:v>
      </x:c>
      <x:c r="C2" s="7" t="str">
        <x:v>Default treatment</x:v>
      </x:c>
      <x:c r="D2" s="7" t="str">
        <x:v>GST impact</x:v>
      </x:c>
      <x:c r="E2" s="7" t="str">
        <x:v>What to confirm</x:v>
      </x:c>
    </x:row>
    <x:row r="3" ht="52.79999923706055" hidden="0" customHeight="1">
      <x:c r="A3" s="20" t="str">
        <x:v>$7,900 van purchase</x:v>
      </x:c>
      <x:c r="B3" s="20" t="str">
        <x:v>25 Feb 2026 · R F Builders · KAJ960 van</x:v>
      </x:c>
      <x:c r="C3" s="21" t="str">
        <x:v>Excluded pending seller record</x:v>
      </x:c>
      <x:c r="D3" s="22" t="n">
        <x:v>1030.43</x:v>
      </x:c>
      <x:c r="E3" s="20" t="str">
        <x:v>A private NZ sale may qualify for a secondhand-goods GST deduction even if the seller was not GST-registered. Get a signed record showing the legal seller's name/address, sale date, van details and $7,900 price; also ask whether it was his private van or a company/business asset.</x:v>
      </x:c>
    </x:row>
    <x:row r="4" ht="26.399999618530273" hidden="0" customHeight="1">
      <x:c r="A4" s="20" t="str">
        <x:v>Aubrey Road final invoice</x:v>
      </x:c>
      <x:c r="B4" s="20" t="str">
        <x:v>INV-J16-F · $11,994.50 · backfilled</x:v>
      </x:c>
      <x:c r="C4" s="21" t="str">
        <x:v>Removed</x:v>
      </x:c>
      <x:c r="D4" s="22" t="n">
        <x:v>1564.5</x:v>
      </x:c>
      <x:c r="E4" s="20" t="str">
        <x:v>Brad confirms only the 30% deposit was paid. The deposit remains included; the unpaid backfilled final balance is removed.</x:v>
      </x:c>
    </x:row>
    <x:row r="5" ht="26.399999618530273" hidden="0" customHeight="1">
      <x:c r="A5" s="20" t="str">
        <x:v>Nicole and Ryan</x:v>
      </x:c>
      <x:c r="B5" s="20" t="str">
        <x:v>Nicole $4,542.50 + Ryan $460.00</x:v>
      </x:c>
      <x:c r="C5" s="21" t="str">
        <x:v>Removed</x:v>
      </x:c>
      <x:c r="D5" s="22" t="n">
        <x:v>652.5</x:v>
      </x:c>
      <x:c r="E5" s="20" t="str">
        <x:v>Removed from both scenarios at Brad's instruction because there is no corresponding receipt in the supplied business bank account.</x:v>
      </x:c>
    </x:row>
    <x:row r="6" ht="26.399999618530273" hidden="0" customHeight="1">
      <x:c r="A6" s="20" t="str">
        <x:v>Resene account bills</x:v>
      </x:c>
      <x:c r="B6" s="20" t="str">
        <x:v>$490.03 total marked paid 20 Jul</x:v>
      </x:c>
      <x:c r="C6" s="21" t="str">
        <x:v>Included on both bases</x:v>
      </x:c>
      <x:c r="D6" s="22" t="n">
        <x:v>63.91</x:v>
      </x:c>
      <x:c r="E6" s="20" t="str">
        <x:v>No matching debit appears in this BNZ account. Confirm payment from another account or supplier credit.</x:v>
      </x:c>
    </x:row>
    <x:row r="7" ht="26.399999618530273" hidden="0" customHeight="1">
      <x:c r="A7" s="20" t="str">
        <x:v>Ordinary work clothing</x:v>
      </x:c>
      <x:c r="B7" s="20" t="str">
        <x:v>Warehouse/Stirling entries</x:v>
      </x:c>
      <x:c r="C7" s="21" t="str">
        <x:v>Excluded</x:v>
      </x:c>
      <x:c r="D7" s="22" t="n">
        <x:v>34.17</x:v>
      </x:c>
      <x:c r="E7" s="20" t="str">
        <x:v>Ordinary clothes are not enough. Only change to included where the item was protective or a distinctive branded uniform.</x:v>
      </x:c>
    </x:row>
    <x:row r="8" ht="26.399999618530273" hidden="0" customHeight="1">
      <x:c r="A8" s="20" t="str">
        <x:v>Overseas software</x:v>
      </x:c>
      <x:c r="B8" s="20" t="str">
        <x:v>OpenAI, Anthropic/Claude and Cursor</x:v>
      </x:c>
      <x:c r="C8" s="21" t="str">
        <x:v>Included where TradePilot marked GST</x:v>
      </x:c>
      <x:c r="D8" s="22" t="n">
        <x:v>25</x:v>
      </x:c>
      <x:c r="E8" s="20" t="str">
        <x:v>Keep/check billing records showing NZ GST was charged. A bank debit by itself does not prove GST on overseas software.</x:v>
      </x:c>
    </x:row>
    <x:row r="9" ht="26.399999618530273" hidden="0" customHeight="1">
      <x:c r="A9" s="20" t="str">
        <x:v>Creonte / YouMoney credits</x:v>
      </x:c>
      <x:c r="B9" s="20" t="str">
        <x:v>Rent/personal/internal transfers</x:v>
      </x:c>
      <x:c r="C9" s="21" t="str">
        <x:v>Excluded from sales</x:v>
      </x:c>
      <x:c r="D9" s="22" t="n">
        <x:v>0</x:v>
      </x:c>
      <x:c r="E9" s="20" t="str">
        <x:v>Later TradePilot bank reviews also classify Creonte as personal/ignored, so the same treatment was applied to the early months.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  <x:col min="3" max="3" width="51.33000183105469" hidden="0" customWidth="1"/>
    <x:col min="4" max="4" width="54" hidden="0" customWidth="1"/>
  </x:cols>
  <x:sheetData>
    <x:row r="1" ht="32" customHeight="1">
      <x:c r="A1" s="3" t="str">
        <x:v>Reconciliation checks and source notes</x:v>
      </x:c>
      <x:c r="B1" s="3" t="str">
        <x:v>Reconciliation checks and source notes</x:v>
      </x:c>
      <x:c r="C1" s="3" t="str">
        <x:v>Reconciliation checks and source notes</x:v>
      </x:c>
      <x:c r="D1" s="3" t="str">
        <x:v>Reconciliation checks and source notes</x:v>
      </x:c>
    </x:row>
    <x:row r="3">
      <x:c r="A3" s="7" t="str">
        <x:v>Check</x:v>
      </x:c>
      <x:c r="B3" s="7" t="str">
        <x:v>Result</x:v>
      </x:c>
      <x:c r="C3" s="7" t="str">
        <x:v>Status</x:v>
      </x:c>
      <x:c r="D3" s="7" t="str">
        <x:v>Comment</x:v>
      </x:c>
    </x:row>
    <x:row r="4">
      <x:c r="A4" s="20" t="str">
        <x:v>BNZ rows in GST window</x:v>
      </x:c>
      <x:c r="B4" s="20" t="n">
        <x:v>373</x:v>
      </x:c>
      <x:c r="C4" s="20" t="str">
        <x:v>PASS</x:v>
      </x:c>
      <x:c r="D4" s="20" t="str">
        <x:v>19 Jan to 31 Jul 2026; exact CSV amounts retained.</x:v>
      </x:c>
    </x:row>
    <x:row r="5">
      <x:c r="A5" s="20" t="str">
        <x:v>TradePilot bank rows from 18 Apr onward</x:v>
      </x:c>
      <x:c r="B5" s="20" t="n">
        <x:v>182</x:v>
      </x:c>
      <x:c r="C5" s="20" t="str">
        <x:v>PASS</x:v>
      </x:c>
      <x:c r="D5" s="20" t="str">
        <x:v>Every imported row has a status; no unreconciled rows in this window.</x:v>
      </x:c>
    </x:row>
    <x:row r="6">
      <x:c r="A6" s="20" t="str">
        <x:v>Duplicate auto-created income</x:v>
      </x:c>
      <x:c r="B6" s="20" t="str">
        <x:v>Removed by using bank receipts once</x:v>
      </x:c>
      <x:c r="C6" s="20" t="str">
        <x:v>PASS</x:v>
      </x:c>
      <x:c r="D6" s="20" t="str">
        <x:v>TradePilot contains paid-invoice entries and bank-matched income for the same receipts.</x:v>
      </x:c>
    </x:row>
    <x:row r="7">
      <x:c r="A7" s="20" t="str">
        <x:v>Supplier account duplicates</x:v>
      </x:c>
      <x:c r="B7" s="20" t="str">
        <x:v>Removed by using one matched bank payment</x:v>
      </x:c>
      <x:c r="C7" s="20" t="str">
        <x:v>PASS</x:v>
      </x:c>
      <x:c r="D7" s="20" t="str">
        <x:v>Dulux/Trademax split bills were not counted again on payments basis.</x:v>
      </x:c>
    </x:row>
    <x:row r="8">
      <x:c r="A8" s="20" t="str">
        <x:v>Resene refund $78.09</x:v>
      </x:c>
      <x:c r="B8" s="20" t="str">
        <x:v>Moved from income to negative purchase</x:v>
      </x:c>
      <x:c r="C8" s="20" t="str">
        <x:v>PASS</x:v>
      </x:c>
      <x:c r="D8" s="20" t="str">
        <x:v>Reduces input GST by $10.19.</x:v>
      </x:c>
    </x:row>
    <x:row r="9">
      <x:c r="A9" s="20" t="str">
        <x:v>Van $7,900</x:v>
      </x:c>
      <x:c r="B9" s="20" t="str">
        <x:v>Excluded pending secondhand-goods record</x:v>
      </x:c>
      <x:c r="C9" s="20" t="str">
        <x:v>REVIEW</x:v>
      </x:c>
      <x:c r="D9" s="20" t="str">
        <x:v>Potential input GST $1,030.43. A private sale may qualify; confirm the legal seller and retain the required transaction record.</x:v>
      </x:c>
    </x:row>
    <x:row r="10">
      <x:c r="A10" s="20" t="str">
        <x:v>Aubrey final invoice</x:v>
      </x:c>
      <x:c r="B10" s="20" t="str">
        <x:v>Removed; 30% deposit remains</x:v>
      </x:c>
      <x:c r="C10" s="20" t="str">
        <x:v>PASS</x:v>
      </x:c>
      <x:c r="D10" s="20" t="str">
        <x:v>Brad confirms only the deposit was paid; the backfilled $11,994.50 final balance is excluded.</x:v>
      </x:c>
    </x:row>
    <x:row r="11">
      <x:c r="A11" s="20" t="str">
        <x:v>Nicole and Ryan</x:v>
      </x:c>
      <x:c r="B11" s="20" t="str">
        <x:v>Removed from both bases</x:v>
      </x:c>
      <x:c r="C11" s="20" t="str">
        <x:v>PASS</x:v>
      </x:c>
      <x:c r="D11" s="20" t="str">
        <x:v>Removed at Brad's instruction; no corresponding BNZ receipt in the supplied account.</x:v>
      </x:c>
    </x:row>
    <x:row r="12">
      <x:c r="A12" s="16"/>
      <x:c r="B12" s="16"/>
      <x:c r="C12" s="16"/>
      <x:c r="D12" s="16"/>
    </x:row>
    <x:row r="13">
      <x:c r="A13" s="7" t="str">
        <x:v>Official source</x:v>
      </x:c>
      <x:c r="B13" s="7" t="str">
        <x:v>URL</x:v>
      </x:c>
      <x:c r="C13" s="7" t="str">
        <x:v>Used for</x:v>
      </x:c>
      <x:c r="D13" s="7" t="str">
        <x:v>Note</x:v>
      </x:c>
    </x:row>
    <x:row r="14">
      <x:c r="A14" s="20" t="str">
        <x:v>IRD: Which GST basis and frequency</x:v>
      </x:c>
      <x:c r="B14" s="20" t="str">
        <x:v>https://www.ird.govt.nz/gst/registering-for-gst/which-gst-accounting-basis-and-filing-frequency-should-i-use</x:v>
      </x:c>
      <x:c r="C14" s="20" t="str">
        <x:v>Invoice vs payments rules</x:v>
      </x:c>
      <x:c r="D14" s="20" t="str">
        <x:v>Current setting controls filing until IRD confirms a change.</x:v>
      </x:c>
    </x:row>
    <x:row r="15">
      <x:c r="A15" s="20" t="str">
        <x:v>IRD: Calculating GST</x:v>
      </x:c>
      <x:c r="B15" s="20" t="str">
        <x:v>https://www.ird.govt.nz/gst/filing-and-paying-gst-and-refunds/calculating-gst</x:v>
      </x:c>
      <x:c r="C15" s="20" t="str">
        <x:v>Sales and purchase timing</x:v>
      </x:c>
      <x:c r="D15" s="20" t="str">
        <x:v>Invoice basis includes invoiced amounts; payments basis includes paid amounts.</x:v>
      </x:c>
    </x:row>
    <x:row r="16">
      <x:c r="A16" s="20" t="str">
        <x:v>IRD: Taxable supply information</x:v>
      </x:c>
      <x:c r="B16" s="20" t="str">
        <x:v>https://www.ird.govt.nz/gst/tax-invoices-for-gst/how-tax-invoices-for-gst-work</x:v>
      </x:c>
      <x:c r="C16" s="20" t="str">
        <x:v>Evidence requirements</x:v>
      </x:c>
      <x:c r="D16" s="20" t="str">
        <x:v>Bank statements may be combined with invoices, contracts and accounting records.</x:v>
      </x:c>
    </x:row>
    <x:row r="17">
      <x:c r="A17" s="20" t="str">
        <x:v>IRD: Records of income and expenses</x:v>
      </x:c>
      <x:c r="B17" s="20" t="str">
        <x:v>https://www.ird.govt.nz/managing-my-tax/record-keeping/records-of-income-and-expenses</x:v>
      </x:c>
      <x:c r="C17" s="20" t="str">
        <x:v>Record retention</x:v>
      </x:c>
      <x:c r="D17" s="20" t="str">
        <x:v>Keep electronic or paper records for 7 years.</x:v>
      </x:c>
    </x:row>
    <x:row r="18">
      <x:c r="A18" s="20" t="str">
        <x:v>IRD: Secondhand goods deduction</x:v>
      </x:c>
      <x:c r="B18" s="20" t="str">
        <x:v>https://www.taxtechnical.ird.govt.nz/fact-sheets/2025/is-25-22-fs-2</x:v>
      </x:c>
      <x:c r="C18" s="20" t="str">
        <x:v>Private-sale van claim</x:v>
      </x:c>
      <x:c r="D18" s="20" t="str">
        <x:v>A registered buyer may claim on qualifying secondhand goods bought for taxable supplies once paid and adequately recorded.</x:v>
      </x:c>
    </x:row>
  </x:sheetData>
  <x:mergeCells>
    <x:mergeCell ref="A1:D1"/>
  </x:mergeCells>
  <x:conditionalFormatting sqref="C4:C11">
    <x:cfRule type="expression" dxfId="3" priority="1">
      <x:formula>C4="REVIEW"</x:formula>
    </x:cfRule>
  </x:conditionalFormatting>
  <x:pageMargins left="0.7" right="0.7" top="0.75" bottom="0.75" header="0.3" footer="0.3"/>
</x:worksheet>
</file>