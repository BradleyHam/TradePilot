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keof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<sst xmlns="http://schemas.openxmlformats.org/spreadsheetml/2006/main" count="53" uniqueCount="48">
  <si>
    <t xml:space="preserve">QUO-058 — 27 Burdon Loop, Lake Hāwea — Painting Package Takeoff</t>
  </si>
  <si>
    <t xml:space="preserve">Source: RAD developed concept drawings Rev 1 (06/08/2026, sheets 1-25) + project specification. Pre-consent — reconfirm against consented set.</t>
  </si>
  <si>
    <t xml:space="preserve">Assumptions (blue = edit me)</t>
  </si>
  <si>
    <t xml:space="preserve">Labour charge-out rate ($/hr)</t>
  </si>
  <si>
    <t xml:space="preserve">Brad confirmed 07/08/2026 (matches QUO-050 variation rate)</t>
  </si>
  <si>
    <t xml:space="preserve">Stud height, main (m)</t>
  </si>
  <si>
    <t xml:space="preserve">Section B: 2420 to u/s battens (2570-2842 entry/garage wing)</t>
  </si>
  <si>
    <t xml:space="preserve">Floor area incl. garage (m²)</t>
  </si>
  <si>
    <t xml:space="preserve">Floor plan sheet 5: 133.75 m² over cladding</t>
  </si>
  <si>
    <t xml:space="preserve">Garage floor area (m²)</t>
  </si>
  <si>
    <t xml:space="preserve">Floor plan room label</t>
  </si>
  <si>
    <t xml:space="preserve">Quote line</t>
  </si>
  <si>
    <t xml:space="preserve">Qty</t>
  </si>
  <si>
    <t xml:space="preserve">Unit</t>
  </si>
  <si>
    <t xml:space="preserve">Coats</t>
  </si>
  <si>
    <t xml:space="preserve">Prod. rate</t>
  </si>
  <si>
    <t xml:space="preserve">Hours</t>
  </si>
  <si>
    <t xml:space="preserve">Materials $</t>
  </si>
  <si>
    <t xml:space="preserve">Line total $</t>
  </si>
  <si>
    <t xml:space="preserve">1. Setup, masking + sealer coat all house GIB (walls 255m² + ceilings 100m²)</t>
  </si>
  <si>
    <t xml:space="preserve">m²</t>
  </si>
  <si>
    <t xml:space="preserve">Setup/masking 12h fixed + sealer coat</t>
  </si>
  <si>
    <t xml:space="preserve">2. Ceilings ×2 topcoats flat white (Level 4)</t>
  </si>
  <si>
    <t xml:space="preserve">House flat ceilings, ex-garage</t>
  </si>
  <si>
    <t xml:space="preserve">3. Walls ×2 topcoats low sheen + wet-area enamel</t>
  </si>
  <si>
    <t xml:space="preserve">Net of openings; incl. Lustercryl to bath/ens/ldry</t>
  </si>
  <si>
    <t xml:space="preserve">4. Trim — arch 65lm + skirt 115lm + reveals 35lm, 3 coats</t>
  </si>
  <si>
    <t xml:space="preserve">lm</t>
  </si>
  <si>
    <t xml:space="preserve">Lusterglo semi-gloss</t>
  </si>
  <si>
    <t xml:space="preserve">5. Interior doors — 12 openings both faces + jambs</t>
  </si>
  <si>
    <t xml:space="preserve">no.</t>
  </si>
  <si>
    <t xml:space="preserve">≈2.2h per opening over 3 coats</t>
  </si>
  <si>
    <t xml:space="preserve">6. Garage walls 36m² + ceiling 19m², sealer + 2 tops (Level 3)</t>
  </si>
  <si>
    <t xml:space="preserve">Stud 2.57m; net of garage door + window</t>
  </si>
  <si>
    <t xml:space="preserve">7. Soffits — Hardies, 3-coat acrylic</t>
  </si>
  <si>
    <t xml:space="preserve">~48lm perimeter × ~450-500mm eaves — confirm on consented roof plan</t>
  </si>
  <si>
    <t xml:space="preserve">8. Exterior stain — WB accents 25m² + fascia 50lm, 2 coats</t>
  </si>
  <si>
    <t xml:space="preserve">Fascia folded into rate; product TBC on plans</t>
  </si>
  <si>
    <t xml:space="preserve">9. Final touch-ups after trades + site clean</t>
  </si>
  <si>
    <t xml:space="preserve">visit</t>
  </si>
  <si>
    <t xml:space="preserve">13h allowance</t>
  </si>
  <si>
    <t xml:space="preserve">TOTAL (excl. GST)</t>
  </si>
  <si>
    <t xml:space="preserve">GST (15%)</t>
  </si>
  <si>
    <t xml:space="preserve">Total incl. GST</t>
  </si>
  <si>
    <t xml:space="preserve">Implied labour $ = hours × rate</t>
  </si>
  <si>
    <t xml:space="preserve">Sanity: $/m² floor (incl. GST, full package)</t>
  </si>
  <si>
    <t xml:space="preserve">Legend: blue/yellow cells are inputs (quantities, coats, productivity rates, materials $). Hours and totals are formulas — change an input and everything reflows. Line totals rounded to nearest $50 to match the quote.</t>
  </si>
  <si>
    <t xml:space="preserve">Quantities measured from floor plan sheet 5, elevations sheet 6, Section B sheet 8. Wall areas net of openings. Prefinished surfaces (Colorsteel, alu joinery, garage door) excluded.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</si>
</sst>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8E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80</v>
      </c>
      <c r="D5" s="2" t="s">
        <v>4</v>
      </c>
    </row>
    <row r="6" customFormat="false" ht="15" hidden="false" customHeight="false" outlineLevel="0" collapsed="false">
      <c r="A6" s="0" t="s">
        <v>5</v>
      </c>
      <c r="B6" s="4" t="n">
        <v>2.42</v>
      </c>
      <c r="D6" s="2" t="s">
        <v>6</v>
      </c>
    </row>
    <row r="7" customFormat="false" ht="15" hidden="false" customHeight="false" outlineLevel="0" collapsed="false">
      <c r="A7" s="0" t="s">
        <v>7</v>
      </c>
      <c r="B7" s="4" t="n">
        <v>133.75</v>
      </c>
      <c r="D7" s="2" t="s">
        <v>8</v>
      </c>
    </row>
    <row r="8" customFormat="false" ht="15" hidden="false" customHeight="false" outlineLevel="0" collapsed="false">
      <c r="A8" s="0" t="s">
        <v>9</v>
      </c>
      <c r="B8" s="4" t="n">
        <v>18.88</v>
      </c>
      <c r="D8" s="2" t="s">
        <v>10</v>
      </c>
    </row>
    <row r="10" customFormat="false" ht="15" hidden="false" customHeight="false" outlineLevel="0" collapsed="false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</row>
    <row r="11" customFormat="false" ht="15" hidden="false" customHeight="false" outlineLevel="0" collapsed="false">
      <c r="A11" s="6" t="s">
        <v>19</v>
      </c>
      <c r="B11" s="7" t="n">
        <v>355</v>
      </c>
      <c r="C11" s="8" t="s">
        <v>20</v>
      </c>
      <c r="D11" s="7" t="n">
        <v>1</v>
      </c>
      <c r="E11" s="7" t="n">
        <v>11</v>
      </c>
      <c r="F11" s="8" t="n">
        <f aca="false">ROUND(B11*D11/E11+12,1)</f>
        <v>44.3</v>
      </c>
      <c r="G11" s="9" t="n">
        <v>640</v>
      </c>
      <c r="H11" s="10" t="n">
        <f aca="false">ROUND((F11*$B$5+G11)/50,0)*50</f>
        <v>4200</v>
      </c>
      <c r="I11" s="2" t="s">
        <v>21</v>
      </c>
    </row>
    <row r="12" customFormat="false" ht="15" hidden="false" customHeight="false" outlineLevel="0" collapsed="false">
      <c r="A12" s="6" t="s">
        <v>22</v>
      </c>
      <c r="B12" s="7" t="n">
        <v>100</v>
      </c>
      <c r="C12" s="8" t="s">
        <v>20</v>
      </c>
      <c r="D12" s="7" t="n">
        <v>2</v>
      </c>
      <c r="E12" s="7" t="n">
        <v>10</v>
      </c>
      <c r="F12" s="8" t="n">
        <f aca="false">ROUND(B12*D12/E12+0,1)</f>
        <v>20</v>
      </c>
      <c r="G12" s="9" t="n">
        <v>390</v>
      </c>
      <c r="H12" s="10" t="n">
        <f aca="false">ROUND((F12*$B$5+G12)/50,0)*50</f>
        <v>2000</v>
      </c>
      <c r="I12" s="2" t="s">
        <v>23</v>
      </c>
    </row>
    <row r="13" customFormat="false" ht="15" hidden="false" customHeight="false" outlineLevel="0" collapsed="false">
      <c r="A13" s="6" t="s">
        <v>24</v>
      </c>
      <c r="B13" s="7" t="n">
        <v>255</v>
      </c>
      <c r="C13" s="8" t="s">
        <v>20</v>
      </c>
      <c r="D13" s="7" t="n">
        <v>2</v>
      </c>
      <c r="E13" s="7" t="n">
        <v>10.6</v>
      </c>
      <c r="F13" s="8" t="n">
        <f aca="false">ROUND(B13*D13/E13+0,1)</f>
        <v>48.1</v>
      </c>
      <c r="G13" s="9" t="n">
        <v>860</v>
      </c>
      <c r="H13" s="10" t="n">
        <f aca="false">ROUND((F13*$B$5+G13)/50,0)*50</f>
        <v>4700</v>
      </c>
      <c r="I13" s="2" t="s">
        <v>25</v>
      </c>
    </row>
    <row r="14" customFormat="false" ht="15" hidden="false" customHeight="false" outlineLevel="0" collapsed="false">
      <c r="A14" s="6" t="s">
        <v>26</v>
      </c>
      <c r="B14" s="7" t="n">
        <v>215</v>
      </c>
      <c r="C14" s="8" t="s">
        <v>27</v>
      </c>
      <c r="D14" s="7" t="n">
        <v>3</v>
      </c>
      <c r="E14" s="7" t="n">
        <v>21.5</v>
      </c>
      <c r="F14" s="8" t="n">
        <f aca="false">ROUND(B14*D14/E14+0,1)</f>
        <v>30</v>
      </c>
      <c r="G14" s="9" t="n">
        <v>200</v>
      </c>
      <c r="H14" s="10" t="n">
        <f aca="false">ROUND((F14*$B$5+G14)/50,0)*50</f>
        <v>2600</v>
      </c>
      <c r="I14" s="2" t="s">
        <v>28</v>
      </c>
    </row>
    <row r="15" customFormat="false" ht="15" hidden="false" customHeight="false" outlineLevel="0" collapsed="false">
      <c r="A15" s="6" t="s">
        <v>29</v>
      </c>
      <c r="B15" s="7" t="n">
        <v>12</v>
      </c>
      <c r="C15" s="8" t="s">
        <v>30</v>
      </c>
      <c r="D15" s="7" t="n">
        <v>3</v>
      </c>
      <c r="E15" s="7" t="n">
        <v>1.385</v>
      </c>
      <c r="F15" s="8" t="n">
        <f aca="false">ROUND(B15*D15/E15+0,1)</f>
        <v>26</v>
      </c>
      <c r="G15" s="9" t="n">
        <v>170</v>
      </c>
      <c r="H15" s="10" t="n">
        <f aca="false">ROUND((F15*$B$5+G15)/50,0)*50</f>
        <v>2250</v>
      </c>
      <c r="I15" s="2" t="s">
        <v>31</v>
      </c>
    </row>
    <row r="16" customFormat="false" ht="15" hidden="false" customHeight="false" outlineLevel="0" collapsed="false">
      <c r="A16" s="6" t="s">
        <v>32</v>
      </c>
      <c r="B16" s="7" t="n">
        <v>55</v>
      </c>
      <c r="C16" s="8" t="s">
        <v>20</v>
      </c>
      <c r="D16" s="7" t="n">
        <v>3</v>
      </c>
      <c r="E16" s="7" t="n">
        <v>11.4</v>
      </c>
      <c r="F16" s="8" t="n">
        <f aca="false">ROUND(B16*D16/E16+0,1)</f>
        <v>14.5</v>
      </c>
      <c r="G16" s="9" t="n">
        <v>190</v>
      </c>
      <c r="H16" s="10" t="n">
        <f aca="false">ROUND((F16*$B$5+G16)/50,0)*50</f>
        <v>1350</v>
      </c>
      <c r="I16" s="2" t="s">
        <v>33</v>
      </c>
    </row>
    <row r="17" customFormat="false" ht="15" hidden="false" customHeight="false" outlineLevel="0" collapsed="false">
      <c r="A17" s="6" t="s">
        <v>34</v>
      </c>
      <c r="B17" s="7" t="n">
        <v>24</v>
      </c>
      <c r="C17" s="8" t="s">
        <v>20</v>
      </c>
      <c r="D17" s="7" t="n">
        <v>3</v>
      </c>
      <c r="E17" s="7" t="n">
        <v>7.2</v>
      </c>
      <c r="F17" s="8" t="n">
        <f aca="false">ROUND(B17*D17/E17+0,1)</f>
        <v>10</v>
      </c>
      <c r="G17" s="9" t="n">
        <v>250</v>
      </c>
      <c r="H17" s="10" t="n">
        <f aca="false">ROUND((F17*$B$5+G17)/50,0)*50</f>
        <v>1050</v>
      </c>
      <c r="I17" s="2" t="s">
        <v>35</v>
      </c>
    </row>
    <row r="18" customFormat="false" ht="15" hidden="false" customHeight="false" outlineLevel="0" collapsed="false">
      <c r="A18" s="6" t="s">
        <v>36</v>
      </c>
      <c r="B18" s="7" t="n">
        <v>25</v>
      </c>
      <c r="C18" s="8" t="s">
        <v>20</v>
      </c>
      <c r="D18" s="7" t="n">
        <v>2</v>
      </c>
      <c r="E18" s="7" t="n">
        <v>4.5</v>
      </c>
      <c r="F18" s="8" t="n">
        <f aca="false">ROUND(B18*D18/E18+2.9,1)</f>
        <v>14</v>
      </c>
      <c r="G18" s="9" t="n">
        <v>330</v>
      </c>
      <c r="H18" s="10" t="n">
        <f aca="false">ROUND((F18*$B$5+G18)/50,0)*50</f>
        <v>1450</v>
      </c>
      <c r="I18" s="2" t="s">
        <v>37</v>
      </c>
    </row>
    <row r="19" customFormat="false" ht="15" hidden="false" customHeight="false" outlineLevel="0" collapsed="false">
      <c r="A19" s="6" t="s">
        <v>38</v>
      </c>
      <c r="B19" s="7" t="n">
        <v>1</v>
      </c>
      <c r="C19" s="8" t="s">
        <v>39</v>
      </c>
      <c r="D19" s="7" t="n">
        <v>1</v>
      </c>
      <c r="E19" s="7" t="n">
        <v>0.0769</v>
      </c>
      <c r="F19" s="8" t="n">
        <f aca="false">ROUND(B19*D19/E19+0,1)</f>
        <v>13</v>
      </c>
      <c r="G19" s="9" t="n">
        <v>0</v>
      </c>
      <c r="H19" s="10" t="n">
        <f aca="false">ROUND((F19*$B$5+G19)/50,0)*50</f>
        <v>1050</v>
      </c>
      <c r="I19" s="2" t="s">
        <v>40</v>
      </c>
    </row>
    <row r="20" customFormat="false" ht="15" hidden="false" customHeight="false" outlineLevel="0" collapsed="false">
      <c r="A20" s="5" t="s">
        <v>41</v>
      </c>
      <c r="B20" s="11"/>
      <c r="C20" s="11"/>
      <c r="D20" s="11"/>
      <c r="E20" s="11"/>
      <c r="F20" s="12" t="n">
        <f aca="false">SUM(F11:F19)</f>
        <v>219.9</v>
      </c>
      <c r="G20" s="13" t="n">
        <f aca="false">SUM(G11:G19)</f>
        <v>3030</v>
      </c>
      <c r="H20" s="14" t="n">
        <f aca="false">SUM(H11:H19)</f>
        <v>20650</v>
      </c>
    </row>
    <row r="22" customFormat="false" ht="15" hidden="false" customHeight="false" outlineLevel="0" collapsed="false">
      <c r="A22" s="15" t="s">
        <v>42</v>
      </c>
      <c r="H22" s="16" t="n">
        <f aca="false">ROUND(H20*0.15,2)</f>
        <v>3097.5</v>
      </c>
    </row>
    <row r="23" customFormat="false" ht="15" hidden="false" customHeight="false" outlineLevel="0" collapsed="false">
      <c r="A23" s="3" t="s">
        <v>43</v>
      </c>
      <c r="H23" s="17" t="n">
        <f aca="false">H20+H22</f>
        <v>23747.5</v>
      </c>
    </row>
    <row r="25" customFormat="false" ht="15" hidden="false" customHeight="false" outlineLevel="0" collapsed="false">
      <c r="A25" s="2" t="s">
        <v>44</v>
      </c>
      <c r="F25" s="18" t="n">
        <f aca="false">F20*$B$5</f>
        <v>17592</v>
      </c>
    </row>
    <row r="26" customFormat="false" ht="15" hidden="false" customHeight="false" outlineLevel="0" collapsed="false">
      <c r="A26" s="2" t="s">
        <v>45</v>
      </c>
      <c r="F26" s="2" t="n">
        <f aca="false">ROUND(H23/B7,0)</f>
        <v>178</v>
      </c>
    </row>
    <row r="28" customFormat="false" ht="15" hidden="false" customHeight="false" outlineLevel="0" collapsed="false">
      <c r="A28" s="2" t="s">
        <v>46</v>
      </c>
    </row>
    <row r="29" customFormat="false" ht="15" hidden="false" customHeight="false" outlineLevel="0" collapsed="false">
      <c r="A29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2026-08-06T20:24:04Z</dcterms:created>
  <dc:creator>openpyxl</dc:creator>
  <dc:description/>
  <dc:language>en-US</dc:language>
  <cp:lastModifiedBy/>
  <dcterms:modified xsi:type="dcterms:W3CDTF">2026-08-06T20:24:04Z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