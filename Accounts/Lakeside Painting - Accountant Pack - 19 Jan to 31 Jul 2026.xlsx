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Customer Invoices" sheetId="2" state="visible" r:id="rId4"/>
    <sheet name="Supplier Bills" sheetId="3" state="visible" r:id="rId5"/>
    <sheet name="Credit Notes &amp; Adjustments" sheetId="4" state="visible" r:id="rId6"/>
    <sheet name="Gaps &amp; Follow-ups" sheetId="5" state="visible" r:id="rId7"/>
    <sheet name="Supplier Statements" sheetId="6" state="visible" r:id="rId8"/>
  </sheets>
  <definedNames>
    <definedName function="false" hidden="true" localSheetId="1" name="_xlnm._FilterDatabase" vbProcedure="false">'Customer Invoices'!$A$5:$O$42</definedName>
    <definedName function="false" hidden="true" localSheetId="2" name="_xlnm._FilterDatabase" vbProcedure="false">'Supplier Bills'!$A$5:$O$80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<sst xmlns="http://schemas.openxmlformats.org/spreadsheetml/2006/main" count="1697" uniqueCount="892">
  <si>
    <t xml:space="preserve">Accountant Pack — Lakeside Painting Limited</t>
  </si>
  <si>
    <t xml:space="preserve">Period 19 January 2026 to 31 July 2026 · all amounts NZD · NZ GST 15% · prepared from the Gmail mailbox and the TradePilot export</t>
  </si>
  <si>
    <t xml:space="preserve">  HEADLINE FIGURES</t>
  </si>
  <si>
    <t xml:space="preserve">Customer invoices issued (sales)</t>
  </si>
  <si>
    <t xml:space="preserve">   Total excluding GST</t>
  </si>
  <si>
    <t xml:space="preserve">   GST</t>
  </si>
  <si>
    <t xml:space="preserve">   Total including GST</t>
  </si>
  <si>
    <t xml:space="preserve">   of which confirmed paid</t>
  </si>
  <si>
    <t xml:space="preserve">   payment not confirmed</t>
  </si>
  <si>
    <t xml:space="preserve">Supplier bills &amp; receipts (purchases)</t>
  </si>
  <si>
    <t xml:space="preserve">Net GST position (output less input GST)</t>
  </si>
  <si>
    <t xml:space="preserve">Gross margin before overheads not in email</t>
  </si>
  <si>
    <t xml:space="preserve">These totals are provisional. Read the two sections below before relying on them.</t>
  </si>
  <si>
    <t xml:space="preserve">  HOW COMPLETE IS THIS?</t>
  </si>
  <si>
    <t xml:space="preserve">Item</t>
  </si>
  <si>
    <t xml:space="preserve">Count</t>
  </si>
  <si>
    <t xml:space="preserve">Note</t>
  </si>
  <si>
    <t xml:space="preserve">Customer invoices found</t>
  </si>
  <si>
    <t xml:space="preserve">36 have a figure; 1 (INV-028-Final, 10 McLeod Ave) does not — its PDF could not be retrieved.</t>
  </si>
  <si>
    <t xml:space="preserve">   with amounts verified from the source document</t>
  </si>
  <si>
    <t xml:space="preserve">see tab</t>
  </si>
  <si>
    <t xml:space="preserve">Column J on the Customer Invoices tab marks each one. Amber = derived, not read.</t>
  </si>
  <si>
    <t xml:space="preserve">Supplier bills found</t>
  </si>
  <si>
    <t xml:space="preserve">Dulux 33, Resene 8, Trademax 15 + 2 credits, everything else 17.</t>
  </si>
  <si>
    <t xml:space="preserve">Supplier statements reconciled</t>
  </si>
  <si>
    <t xml:space="preserve">13</t>
  </si>
  <si>
    <t xml:space="preserve">Dulux and Trademax reconcile month by month. See the Supplier Statements tab.</t>
  </si>
  <si>
    <t xml:space="preserve">Categories with NO records at all</t>
  </si>
  <si>
    <t xml:space="preserve">7</t>
  </si>
  <si>
    <t xml:space="preserve">Fuel, phone/internet, ACC, bank fees, vehicle, professional fees, and software beyond Google Workspace.</t>
  </si>
  <si>
    <t xml:space="preserve">Period covered by the TradePilot export</t>
  </si>
  <si>
    <t xml:space="preserve">18 Jan – 9 Apr</t>
  </si>
  <si>
    <t xml:space="preserve">After 9 April the only source is email. The export is also labelled "Sandbox".</t>
  </si>
  <si>
    <t xml:space="preserve">  READ THIS BEFORE BOOKING ANYTHING</t>
  </si>
  <si>
    <t xml:space="preserve">▸ The GST registration date is unresolved.</t>
  </si>
  <si>
    <t xml:space="preserve">    An IRD letter of 14 May 2026 says information requested for backdating the GST registration was not provided. Until that is settled from myIR, every GST figure here is provisional.</t>
  </si>
  <si>
    <t xml:space="preserve">▸ Up to $2,907.14 of Dulux cost may not be real.</t>
  </si>
  <si>
    <t xml:space="preserve">    Two identical $1,453.57 invoices for the same purchase order, neither properly settled and no credit note issued. Confirm with Dulux first.</t>
  </si>
  <si>
    <t xml:space="preserve">▸ One invoice was issued with GST charged twice.</t>
  </si>
  <si>
    <t xml:space="preserve">    7 Cairnmuir St (Home &amp; Co): deposit INV-8836EB $686.38 and final INV-Q040 first issued at $1,601.54, corrected the same day to $1,303.12. If the ledger holds the $1,601.54 version, income is overstated by $259.50 and GST by $38.92.</t>
  </si>
  <si>
    <t xml:space="preserve">▸ One invoice went out with a dead bank account.</t>
  </si>
  <si>
    <t xml:space="preserve">    Central Lakes Equestrian Club INV-034-DEP carried a stale ANZ number from an old template; the Treasurer's $1,794 payment was rejected. Corrected to BNZ on 27 May, but no successful payment is confirmed for either that or the $4,186 final.</t>
  </si>
  <si>
    <t xml:space="preserve">▸ A $5,057.70 deposit invoice should be voided.</t>
  </si>
  <si>
    <t xml:space="preserve">    3 Parkview Street (Kevin Henderson): the job was cancelled on 19 May when the house sold, before any work. Never paid, no credit note. It is not income.</t>
  </si>
  <si>
    <t xml:space="preserve">▸ Some costs were paid personally or by personal card.</t>
  </si>
  <si>
    <t xml:space="preserve">    AA insurance Jan–Mar came off Bradley Hamilton's personal Visa for a policy owned by Rank Higher Limited. Card ending 5996 paid Tool Junction and Hireworx. Pukka signage was likely paid on pick-up. Fuel, phone and internet appear nowhere and are almost certainly personal.</t>
  </si>
  <si>
    <t xml:space="preserve">▸ Nothing here is cash-verified.</t>
  </si>
  <si>
    <t xml:space="preserve">    No bank statement was available. Every "paid" status comes from an email — a remittance, a receipt or a customer saying so. The bank is the only way to confirm the rest.</t>
  </si>
  <si>
    <t xml:space="preserve">  WHAT IS IN THIS WORKBOOK</t>
  </si>
  <si>
    <t xml:space="preserve">Customer Invoices</t>
  </si>
  <si>
    <t xml:space="preserve">Every invoice Lakeside issued in the period, with GST split, payment date and status, and where each figure came from.</t>
  </si>
  <si>
    <t xml:space="preserve">Supplier Bills</t>
  </si>
  <si>
    <t xml:space="preserve">Every supplier bill and receipt, categorised, with GST split, payment status and how it was paid. Category subtotals at the bottom.</t>
  </si>
  <si>
    <t xml:space="preserve">Credit Notes &amp; Adjustments</t>
  </si>
  <si>
    <t xml:space="preserve">Credit notes, refunds, re-issued invoices, cancellations, price reductions and doubtful debts. Read this before the two tabs above.</t>
  </si>
  <si>
    <t xml:space="preserve">Gaps &amp; Follow-ups</t>
  </si>
  <si>
    <t xml:space="preserve">What is missing from the record, prioritised, with where to get it.</t>
  </si>
  <si>
    <t xml:space="preserve">Supplier Statements</t>
  </si>
  <si>
    <t xml:space="preserve">Dulux, Resene and Trademax statements for reconciling the Supplier Bills tab.</t>
  </si>
  <si>
    <t xml:space="preserve">Sources: Gmail (lakesidepaintinglimited@gmail.com / info@lakesidepainting.co.nz), including PDF attachments read directly; and the TradePilot export at Desktop/lakeside-painting/TradePilot/data/import (18 Jan – 9 Apr 2026).</t>
  </si>
  <si>
    <t xml:space="preserve">Customer Invoices Issued</t>
  </si>
  <si>
    <t xml:space="preserve">Lakeside Painting Limited · 19 Jan – 31 Jul 2026 · all amounts NZD · GST 15%</t>
  </si>
  <si>
    <t xml:space="preserve">Invoice date</t>
  </si>
  <si>
    <t xml:space="preserve">Invoice no.</t>
  </si>
  <si>
    <t xml:space="preserve">Customer</t>
  </si>
  <si>
    <t xml:space="preserve">Company</t>
  </si>
  <si>
    <t xml:space="preserve">Job / address</t>
  </si>
  <si>
    <t xml:space="preserve">Type</t>
  </si>
  <si>
    <t xml:space="preserve">Amount ex GST</t>
  </si>
  <si>
    <t xml:space="preserve">GST</t>
  </si>
  <si>
    <t xml:space="preserve">Total incl GST</t>
  </si>
  <si>
    <t xml:space="preserve">Amount verified?</t>
  </si>
  <si>
    <t xml:space="preserve">Source of figures</t>
  </si>
  <si>
    <t xml:space="preserve">Payment date</t>
  </si>
  <si>
    <t xml:space="preserve">Payment status</t>
  </si>
  <si>
    <t xml:space="preserve">Evidence / notes</t>
  </si>
  <si>
    <t xml:space="preserve">Gmail thread</t>
  </si>
  <si>
    <t xml:space="preserve">2026-01-19</t>
  </si>
  <si>
    <t xml:space="preserve">—</t>
  </si>
  <si>
    <t xml:space="preserve">Craig Chirnside</t>
  </si>
  <si>
    <t xml:space="preserve">18 Hewson Crescent, Lake Hawea - exterior cedar staining (2 coats Wattyl stain, client-supplied)</t>
  </si>
  <si>
    <t xml:space="preserve">Deposit</t>
  </si>
  <si>
    <t xml:space="preserve">No</t>
  </si>
  <si>
    <t xml:space="preserve">email body</t>
  </si>
  <si>
    <t xml:space="preserve">Paid</t>
  </si>
  <si>
    <t xml:space="preserve">Customer replied same day: 'Paid. Thanks' (19 Jan 2026). Brad replied 'Thanks Craig'. | Email says only 'I've attached the 20% deposit invoice'. Attachment 'deposit-invoice.pdf' NOT opened. Amount DERIVED: accepted quote (3 Nov 2025) was $2,770 + GST = $3,185.50 incl; 20% = $637.10 incl. It is unclear whether the 20% was calculated on the GST-inclusive or GST-exclusive figure (20% of $2,770 ex = $554 ex / $637.10 incl - same result, so this derivation is reasonably safe). Invoice date assumed = email date. NEEDS THE PDF CHECKED.</t>
  </si>
  <si>
    <t xml:space="preserve">19bd57c79838bcf3</t>
  </si>
  <si>
    <t xml:space="preserve">2026-01-21</t>
  </si>
  <si>
    <t xml:space="preserve">Pennie Jackson</t>
  </si>
  <si>
    <t xml:space="preserve">Flat (Wanaka; access via son Jonty Jackson) - interior refresh repaint</t>
  </si>
  <si>
    <t xml:space="preserve">Pennie 22 Jan 2026 (NZ time 21 Jan UTC): 'I just paid the deposit. See bank receipt attached.' Brad: 'Thanks for confirming the deposit, I've received it.' | Email says '30% deposit invoice'; PDF 'Pennies deposit invoice - Invoice.pdf' NOT opened. Amount DERIVED from accepted revised quote stated in the thread: $4,800 + GST ($720) = $5,520 incl; 30% = $1,656 incl. NEEDS THE PDF CHECKED.</t>
  </si>
  <si>
    <t xml:space="preserve">19c2cc1bacc2b673</t>
  </si>
  <si>
    <t xml:space="preserve">2026-01-26</t>
  </si>
  <si>
    <t xml:space="preserve">Sarah Brand and George Ferguson</t>
  </si>
  <si>
    <t xml:space="preserve">Lake Hawea - powder room wallpaper installation (final balance after deposit)</t>
  </si>
  <si>
    <t xml:space="preserve">Final</t>
  </si>
  <si>
    <t xml:space="preserve">Yes</t>
  </si>
  <si>
    <t xml:space="preserve">PDF read</t>
  </si>
  <si>
    <t xml:space="preserve">2026-01-28</t>
  </si>
  <si>
    <t xml:space="preserve">Sarah Brand 28 Jan 2026: 'We have just paid the balance of the invoice now - paid from ANZ account.' Brad 28 Jan: 'Thanks very much for the prompt payment.' | PDF attached ('Lake Hawea Powder Room - Invoice.pdf'), figures NOT in body and no quote figure appears anywhere in the mailbox for this job - NEEDS THE PDF CHECKED. The related deposit invoice was emailed 16 Jan 2026 (thread 19be747efeb52c44), which is BEFORE the 19 Jan period start, so it is excluded here.</t>
  </si>
  <si>
    <t xml:space="preserve">19c08a68be2cdc76</t>
  </si>
  <si>
    <t xml:space="preserve">2026-01-30</t>
  </si>
  <si>
    <t xml:space="preserve">18 Hewson Crescent, Lake Hawea - exterior cedar staining, final balance</t>
  </si>
  <si>
    <t xml:space="preserve">Customer 30 Jan 2026: 'Paid and gave you a 5 star review.' Brad 30 Jan: 'payment received - appreciate the quick turnaround.' | Scaffold line item removed: 'We ended up not needing the scaffold so I've taken that $300 off the original quote.' Job total reduced from $2,770 + GST to $2,470 + GST. | Attachment 'Craig Exterior Staining Final Invoice - Invoice.pdf' NOT opened; no figures in body. Amount DERIVED: revised job total $2,470 + GST = $2,840.50 incl, less deposit $637.10 = $2,203.40 incl. NEEDS THE PDF CHECKED - the deposit may have been credited on a different basis.</t>
  </si>
  <si>
    <t xml:space="preserve">19c11262ee4ac497</t>
  </si>
  <si>
    <t xml:space="preserve">2026-02-02</t>
  </si>
  <si>
    <t xml:space="preserve">Troy Nicholson</t>
  </si>
  <si>
    <t xml:space="preserve">4 Perrow Street, Wanaka - painting of fibre cement gables</t>
  </si>
  <si>
    <t xml:space="preserve">Troy 2 Feb 2026: 'Thank you, paid now and good to go.' | PDF 'Deposit for Fiber Cement Gables - Invoice.pdf' NOT opened. Body gives NO deposit amount and NO deposit percentage, so no reliable derivation is possible. Total job price quoted in the same thread was $1,350 + GST = $1,552.50 incl. NEEDS THE PDF CHECKED.</t>
  </si>
  <si>
    <t xml:space="preserve">19c1d5873ca4f067</t>
  </si>
  <si>
    <t xml:space="preserve">2026-02-08</t>
  </si>
  <si>
    <t xml:space="preserve">Flat (Wanaka) - interior refresh repaint, final balance</t>
  </si>
  <si>
    <t xml:space="preserve">Pennie 8 Feb 2026: 'Please find bank receipt attached and again thanks so much.' | Scope overran (5 days on site vs 3 quoted, extra prep, 2 coats on ceilings/woodwork). Lakeside absorbed the extra: 'We're happy to honour the last quoted price though.' No variation charged. | PDF 'Pennies final invoice - Invoice.pdf' NOT opened. Amount DERIVED: quoted total $5,520 incl held, less 30% deposit $1,656 = $3,864 incl. NEEDS THE PDF CHECKED.</t>
  </si>
  <si>
    <t xml:space="preserve">19c3c30d857d05c6</t>
  </si>
  <si>
    <t xml:space="preserve">2026-02-15</t>
  </si>
  <si>
    <t xml:space="preserve">4 Perrow Street, Wanaka - gables, final balance</t>
  </si>
  <si>
    <t xml:space="preserve">Owner's ledger (Business Data workbook) - invoice PDF unreadable</t>
  </si>
  <si>
    <t xml:space="preserve">Troy 15 Feb 2026: 'Have paid remainder now.' Brad same day: 'payment received - much appreciated.' | PDF '4 Perrow St - Final Invoice - Invoice.pdf' NOT opened; no figures in body. Balance cannot be derived because the deposit amount is unknown. Job total was $1,350 + GST = $1,552.50 incl. NEEDS THE PDF CHECKED.</t>
  </si>
  <si>
    <t xml:space="preserve">19c5fcf2d1381c66</t>
  </si>
  <si>
    <t xml:space="preserve">2026-02-19</t>
  </si>
  <si>
    <t xml:space="preserve">Liam</t>
  </si>
  <si>
    <t xml:space="preserve">LC Decorating (liam@lcdecorating.co.nz)</t>
  </si>
  <si>
    <t xml:space="preserve">Not stated in email. Likely subcontract decorating work.</t>
  </si>
  <si>
    <t xml:space="preserve">Other</t>
  </si>
  <si>
    <t xml:space="preserve">Unknown</t>
  </si>
  <si>
    <t xml:space="preserve">No reply and no payment reference anywhere in the mailbox. | HIGH PRIORITY GAP. Subject is just 'invoice', the email body is completely EMPTY, and the only content is the attachment 'Invoice for Liam - Invoice.pdf'. No amount, no job address, no payment evidence. NEEDS THE PDF CHECKED and payment status confirmed against the bank.</t>
  </si>
  <si>
    <t xml:space="preserve">19c74494ddf23ba7</t>
  </si>
  <si>
    <t xml:space="preserve">2026-02-21</t>
  </si>
  <si>
    <t xml:space="preserve">Hilary Waller</t>
  </si>
  <si>
    <t xml:space="preserve">Wanaka holiday property - decks clean and oil, pergola columns, exterior window frames, front door reseal</t>
  </si>
  <si>
    <t xml:space="preserve">Hilary 21 Feb 2026: 'Thank you Brad deposit paid'. Brad same day: 'Thanks Hilary, deposit received!' | AMBIGUITY: body states 'an invoice for a 20% deposit ($980)' but does not say whether $980 is GST-inclusive or GST-exclusive. Treated here as GST-INCLUSIVE (ex $852.17 / GST $127.83). Note the quote was $4,250 + GST = $4,887.50 incl, and 20% of that is $977.50 - close to but NOT equal to $980, so the $980 may be 20% of a rounded figure or may be ex-GST ($980 + GST = $1,127). NEEDS THE PDF CHECKED.</t>
  </si>
  <si>
    <t xml:space="preserve">19c91c156d15ab53</t>
  </si>
  <si>
    <t xml:space="preserve">2026-02-23</t>
  </si>
  <si>
    <t xml:space="preserve">Danya Meakins</t>
  </si>
  <si>
    <t xml:space="preserve">56 Dale Street - living/dining/kitchen ceiling repaint (49 sqm)</t>
  </si>
  <si>
    <t xml:space="preserve">2026-02-24</t>
  </si>
  <si>
    <t xml:space="preserve">Danya 25 Feb 2026 NZ (24 Feb UTC): 'We have paid the deposit as requested, please find attached payment confirmation.' | PDF '56 Dale Street - Invoice.pdf' NOT opened. Body confirms the JOB price ($1,280 + GST = $1,472 incl) but gives NO deposit amount or percentage, so the deposit cannot be derived. NEEDS THE PDF CHECKED.</t>
  </si>
  <si>
    <t xml:space="preserve">19ca0e8c609f737b</t>
  </si>
  <si>
    <t xml:space="preserve">2026-02-25</t>
  </si>
  <si>
    <t xml:space="preserve">Sarah Gunn</t>
  </si>
  <si>
    <t xml:space="preserve">50 Dale Street - cedar cladding clean/sand/2 coats stain + painted corner boards</t>
  </si>
  <si>
    <t xml:space="preserve">Progress</t>
  </si>
  <si>
    <t xml:space="preserve">Sarah Gunn 25 Feb 2026: 'We will put the payment through shortly.' No explicit confirmation of receipt for THIS invoice was found (Brad's later 'confirming the invoice has come through' on 5 Mar sits in the FINAL invoice thread). | Body states 'a progress invoice for 40%' and that 'The remaining balance (30%) will be due once the final paintwork is completed', implying a 30% deposit was raised earlier. PDF '50 dale street - progress payment invoice - Invoice.pdf' NOT opened. Amount DERIVED: quote $5,800 + GST = $6,670 incl; 40% = $2,668 incl. Sister Catherine Gunn (catherine@beweb.co.nz) is co</t>
  </si>
  <si>
    <t xml:space="preserve">19c93a346fdf50d1</t>
  </si>
  <si>
    <t xml:space="preserve">2026-02-27</t>
  </si>
  <si>
    <t xml:space="preserve">Glenda Turner</t>
  </si>
  <si>
    <t xml:space="preserve">29 Tomtit Crescent, Lake Hawea - retaining wall wash + 3 coats Resene Lumbersider (FlaxPod)</t>
  </si>
  <si>
    <t xml:space="preserve">Glenda 27 Feb 2026: 'I've just paid this and sent a separate email from Westpac showing proof of payment.' Brad 1 Mar: 'I've received the payment.' Receipt PDF emailed 5 Mar 2026. | Body says only '30% deposit invoice'. PDF 'Deposit for Glenda - Retaining Wall - Invoice.pdf' NOT opened. Amount DERIVED: quote $980 + GST = $1,127 incl; 30% = $338.10 incl. NEEDS THE PDF CHECKED.</t>
  </si>
  <si>
    <t xml:space="preserve">19c9d7a4cab0e588</t>
  </si>
  <si>
    <t xml:space="preserve">2026-03-02</t>
  </si>
  <si>
    <t xml:space="preserve">50 Dale Street - final balance incl. replaced/painted rear corner boards</t>
  </si>
  <si>
    <t xml:space="preserve">2026-03-05</t>
  </si>
  <si>
    <t xml:space="preserve">Sarah 2 Mar 2026: 'I'll send the final invoice on to my sister Catherine to pay.' Brad 5 Mar 2026: 'Also just confirming the invoice has come through, much appreciated.' | PDF '50 Dale St - Final Payment - Invoice.pdf' NOT opened. Amount DERIVED as the stated remaining 30% of the $5,800 + GST quote = $2,001 incl. This may be UNDERSTATED - new rear corner boards were supplied/replaced and painted, which was extra to the original scope, and may have been added to this invoice. NEEDS THE PDF CHECKED. Payment date is the date Brad acknowledged receipt, not necessarily the bank value date.</t>
  </si>
  <si>
    <t xml:space="preserve">19cbbff0ebfcf78f</t>
  </si>
  <si>
    <t xml:space="preserve">2026-03-04</t>
  </si>
  <si>
    <t xml:space="preserve">56 Dale Street - ceiling repaint, final balance</t>
  </si>
  <si>
    <t xml:space="preserve">No reply in the thread and no payment reference elsewhere in the mailbox. | PDF '56 Dale St - Final Payment - Invoice.pdf' NOT opened; no figures in body. Job total $1,280 + GST = $1,472 incl, but the balance cannot be derived because the deposit amount is unknown. NEEDS THE PDF CHECKED and payment status confirmed against the bank.</t>
  </si>
  <si>
    <t xml:space="preserve">19cb73923ba5ad63</t>
  </si>
  <si>
    <t xml:space="preserve">Cam</t>
  </si>
  <si>
    <t xml:space="preserve">Latch Build Ltd (cam@latchbuild.co.nz / hello@latchbuild.co.nz)</t>
  </si>
  <si>
    <t xml:space="preserve">1 Ivy Lane - bathroom repair paint works (prime/paint wall repairs; fill, prime, paint replacement timber frames and skirtings)</t>
  </si>
  <si>
    <t xml:space="preserve">Latch Build 4 Mar 2026: 'Got the invoice thanks. Will get it sorted.' Latch Build 15 Mar 2026: 'Invoice is in the system - it didn't have a due date on it so I set it to default which is 20th of the month following - although I've pulled it back to this month in your case.' No actual payment confirmation found. | PDF 'invoice for Latch - Invoice.pdf' NOT opened; no figures in body and no quote for this job anywhere in the mailbox. B2B customer. Likely paid late March 2026 but unconfirmed - CHECK THE BANK. Also note the invoice was issued with NO DUE DATE on it.</t>
  </si>
  <si>
    <t xml:space="preserve">19cb742417c6d31b</t>
  </si>
  <si>
    <t xml:space="preserve">2026-03-14</t>
  </si>
  <si>
    <t xml:space="preserve">29 Tomtit Crescent, Lake Hawea - retaining wall, final balance</t>
  </si>
  <si>
    <t xml:space="preserve">2026-03-17</t>
  </si>
  <si>
    <t xml:space="preserve">Brad emailed 'Receipt for Payment' with receipt PDF attached on 17 Mar 2026 (thread 19cfd7ed65a0e342); Glenda replied 'Thanks!'. | Variation UP: wall was larger than quoted (a section continued behind the gate), requiring an extra 4L of Resene Lumbersider. Extra paint cost of $120 added to the invoice; additional labour for that section was NOT charged (absorbed by Lakeside). | PDF 'final invoice for Glenda - Retaining Wall - Invoice.pdf' NOT opened. Amount DERIVED: $980 quote + $120 extra paint = $1,100 + GST = $1,265 incl, less deposit $338.10 = $926.90 incl. It is NOT stated whether the $12</t>
  </si>
  <si>
    <t xml:space="preserve">19ceab168dca2286</t>
  </si>
  <si>
    <t xml:space="preserve">Wes (and Ailsa)</t>
  </si>
  <si>
    <t xml:space="preserve">Bathroom wallpapering</t>
  </si>
  <si>
    <t xml:space="preserve">No reply in the thread and no payment reference elsewhere in the mailbox. | PDF 'Wes Bathroom - Invoice - Invoice.pdf' NOT opened; no figures in body and no quote for this job in the mailbox. Property address not stated. NEEDS THE PDF CHECKED and payment status confirmed against the bank.</t>
  </si>
  <si>
    <t xml:space="preserve">19cfa408694ba76d</t>
  </si>
  <si>
    <t xml:space="preserve">2026-03-24</t>
  </si>
  <si>
    <t xml:space="preserve">INV-J12</t>
  </si>
  <si>
    <t xml:space="preserve">Toni Fox (Assistant Property Manager)</t>
  </si>
  <si>
    <t xml:space="preserve">Home &amp; Co. Property Management Ltd</t>
  </si>
  <si>
    <t xml:space="preserve">3 Merivale Avenue - exterior cedar cladding prep and re-stain</t>
  </si>
  <si>
    <t xml:space="preserve">Toni Fox 24 Mar 2026: 'Thank you, I will process that now. We normally pay out on the 1st and 15th of each month if that is ok.' No confirmation of actual payment found. | Invoice no. taken from attachment filename 'INV-J12.pdf'. Body gives NO amount and NO percentage. Amount DERIVED ASSUMING a 30% deposit (Lakeside's usual rate) on the accepted quote of $7,250 + GST = $8,337.50 incl: 30% = $2,501.25 incl. THE PERCENTAGE IS AN ASSUMPTION - NEEDS THE PDF CHECKED. Billed to the property manager, processed through the property account. Likely paid ~1 April 2026 - CHECK THE BANK.</t>
  </si>
  <si>
    <t xml:space="preserve">19d1e56df8eb3493</t>
  </si>
  <si>
    <t xml:space="preserve">2026-04-05</t>
  </si>
  <si>
    <t xml:space="preserve">INV-027 (attachment INV-027-J13-Deposit.pdf)</t>
  </si>
  <si>
    <t xml:space="preserve">10 McLeod Avenue - cedar restain and garage door painting</t>
  </si>
  <si>
    <t xml:space="preserve">No payment confirmation found. Work did not start until 11 May 2026; final invoice for this job was issued 20 May 2026 (outside this period). | Body states it is a 30% deposit but gives NO dollar amount, and the underlying quote for 10 McLeod Avenue does not appear in the mailbox, so no derivation is possible. NEEDS THE PDF CHECKED. Note the invoice number 'INV-027' does not follow the 'INV-J..' pattern used on the other Home &amp; Co invoices.</t>
  </si>
  <si>
    <t xml:space="preserve">19d5efa8fce440b0</t>
  </si>
  <si>
    <t xml:space="preserve">2026-04-08</t>
  </si>
  <si>
    <t xml:space="preserve">Leigh Cashen</t>
  </si>
  <si>
    <t xml:space="preserve">Riverstone (leigh@riverstone.net.nz)</t>
  </si>
  <si>
    <t xml:space="preserve">9 Hikuwai Drive - wallpaper installation to toilet wall (5 drops, pattern matched)</t>
  </si>
  <si>
    <t xml:space="preserve">No reply in the thread and no payment reference elsewhere in the mailbox. | Attachment is 'invoice for Leigh.XLSX' (a spreadsheet, not the usual PDF) and was NOT opened. Amount DERIVED from the accepted quote in the same thread: $490 + GST = $563.50 incl. NEEDS THE FILE CHECKED and payment status confirmed against the bank.</t>
  </si>
  <si>
    <t xml:space="preserve">19d651691ff2a559</t>
  </si>
  <si>
    <t xml:space="preserve">2026-04-12</t>
  </si>
  <si>
    <t xml:space="preserve">INV-Q032-deposit</t>
  </si>
  <si>
    <t xml:space="preserve">Rebecca Maplesden</t>
  </si>
  <si>
    <t xml:space="preserve">32 Malvern Road - cedar staining (prep, wash, mask, stain, scaffold, materials)</t>
  </si>
  <si>
    <t xml:space="preserve">Rebecca 16 Apr 2026: 'I'll pay deposit in next couple of days.' Rebecca 2 May 2026: 'I payed the deposit a couple of weeks ago.' Brad 6 May 2026: 'You've already paid the $1,035 incl. GST deposit.' | The job was later repriced DOWN on completion: final invoice INV-Q032-final (6 May 2026, OUTSIDE this period) reduced the job total from $3,450 incl GST to $2,528.85 incl GST, leaving a balance of $1,493.85 incl GST. The deposit was not changed. | The $1,035 incl GST figure is stated explicitly, but in a LATER email (6 May 2026), not in the 12 April invoice email - the April email body gives no fi</t>
  </si>
  <si>
    <t xml:space="preserve">19d7618efffdedbe</t>
  </si>
  <si>
    <t xml:space="preserve">2026-04-22</t>
  </si>
  <si>
    <t xml:space="preserve">INV-J12-F</t>
  </si>
  <si>
    <t xml:space="preserve">3 Merivale Avenue - cedar restain completed (north side stripped to bare + Resene Woodsman oil; front/rear/sheltered Resene Waterborne Woodsman)</t>
  </si>
  <si>
    <t xml:space="preserve">Toni Fox 23 Apr 2026: 'Thank you so much for this much appreciated. The property looks good, the owner will be pleased.' No payment confirmation found by 30 April 2026. | Variation UP of $2,000 + GST ($2,300 incl) approved by the owner via Toni Fox on 7 April 2026 for additional prep (sanding sun-exposed elevations back to bare timber after the old film-forming coating was found to be delaminating and incompatible with the oil stain). Lakeside absorbed a portion of the extra labour. | Invoice no. from attachment filename 'INV-J12-F.pdf'. Amount DERIVED: quote $7,250 + approved variation $2,000</t>
  </si>
  <si>
    <t xml:space="preserve">19db3e886a6b5097</t>
  </si>
  <si>
    <t xml:space="preserve">2026-04-25</t>
  </si>
  <si>
    <t xml:space="preserve">INV-PHW</t>
  </si>
  <si>
    <t xml:space="preserve">Steven Jin</t>
  </si>
  <si>
    <t xml:space="preserve">UCL Commercial Ltd (uclnz.co.nz)</t>
  </si>
  <si>
    <t xml:space="preserve">Pizza Hut Wanaka - plastering and painting to a small wall and bulkhead (fit-out)</t>
  </si>
  <si>
    <t xml:space="preserve">No payment confirmation found. Later contact (16-17 June 2026) was about a Google review only, with no mention of payment. | Amounts STATED IN THE BODY: 'The total is $2,559 + GST, which comes to $2,942.85 incl. GST'. Invoice no. from attachment filename 'INV-PHW Pizza Hut Wanaka.pdf'. Commercial customer in Auckland; no PO/reference beyond 'pizza hut wanaka'. Payment status needs checking against the bank.</t>
  </si>
  <si>
    <t xml:space="preserve">19d852a268e87ff4</t>
  </si>
  <si>
    <t xml:space="preserve">2026-04-26</t>
  </si>
  <si>
    <t xml:space="preserve">INV-AUB-deposit</t>
  </si>
  <si>
    <t xml:space="preserve">Richard Gray</t>
  </si>
  <si>
    <t xml:space="preserve">84C Aubrey Road - exterior repaint and cedar maintenance</t>
  </si>
  <si>
    <t xml:space="preserve">2026-04-27</t>
  </si>
  <si>
    <t xml:space="preserve">Richard Gray 28 Apr 2026 NZ (27 Apr UTC): 'Done'. | Amount STATED IN THE BODY: 'Deposit (30%): $5,140.50 incl GST'. Implies a job total of $17,135 incl GST ($14,900 + GST). Work was scheduled for a mid-May start, i.e. after period end. Customer's one-word 'Done' is the only payment evidence - worth confirming against the bank.</t>
  </si>
  <si>
    <t xml:space="preserve">19dc72917d3f7e43</t>
  </si>
  <si>
    <t xml:space="preserve">INV-Q034-deposit</t>
  </si>
  <si>
    <t xml:space="preserve">Kevin Henderson</t>
  </si>
  <si>
    <t xml:space="preserve">3 Parkview Street - full interior repaint</t>
  </si>
  <si>
    <t xml:space="preserve">No payment confirmation found. Follow-up emails on 5 May and 18 May discuss scheduling and then cancellation, without ever referring to the deposit having been paid or needing to be refunded. | JOB CANCELLED AFTER INVOICING. On 19 May 2026 (NZ) Kevin Henderson advised the house had been sold before work started. Brad replied 'No worries at all, these things happen and we completely understand.' NO credit note, refund or write-off is visible in the mailbox. | Amount STATED IN THE BODY: 'Deposit (30%): $5,057.70 incl GST'. Consistent with the quote of $14,660 + GST = $16,859 incl. ACCOUNTANT ACT</t>
  </si>
  <si>
    <t xml:space="preserve">19dc7290ac5bfc2c</t>
  </si>
  <si>
    <t xml:space="preserve">2026-04-28</t>
  </si>
  <si>
    <t xml:space="preserve">4 Perrow Street, Wanaka - interior ceiling repaint (per quote QUO-034), start scheduled 13 July 2026</t>
  </si>
  <si>
    <t xml:space="preserve">2026-04-29</t>
  </si>
  <si>
    <t xml:space="preserve">Troy Nicholson 29 Apr 2026: 'Thanks Bradley, deposit paid mate.' Brad 1 May 2026: 'Awesome Troy, thanks for that.' | Body gives NO amount and NO percentage. Amount DERIVED ASSUMING 30% of quote QUO-034 (Interior Ceiling Repaint) = $3,450 + GST = $3,967.50 incl; 30% = $1,190.25 incl. THE PERCENTAGE IS AN ASSUMPTION - NEEDS THE PDF CHECKED. WARNING: the attachment filename 'INV-Q034-deposit.pdf' is IDENTICAL to the file sent to Kevin Henderson two days earlier (26 Apr) - see adjustments for the reference clash. Income is deferred: work not scheduled until July 2026. The second quote QUO-035 (wal</t>
  </si>
  <si>
    <t xml:space="preserve">19dcb79d6ce2682b</t>
  </si>
  <si>
    <t xml:space="preserve">2026-05-06</t>
  </si>
  <si>
    <t xml:space="preserve">INV-Q032-final</t>
  </si>
  <si>
    <t xml:space="preserve">32 Malvern Rd, Wanaka - cedar staining / one-coat Dryden WoodOil maintenance coat (incl. cedar prep, chemical clean, scaffold hire, stain and materials)</t>
  </si>
  <si>
    <t xml:space="preserve">2026-05-08</t>
  </si>
  <si>
    <t xml:space="preserve">Customer email 8 May 2026 (NZ): 'The full invoice has been paid and happy to provide a reference.' | Not a credit note, but the job was re-priced before final invoicing: original quote $3,450.00 incl GST reduced to $2,528.85 incl GST after switching to a one-coat Dryden WoodOil approach. Deposit of $1,035.00 incl GST had already been paid (deposit invoice pre-dates this period), leaving this $1,493.85 balance. | Brad's email states verbatim: 'The updated total comes to $2,528.85 incl. GST, reduced from the original $3,450 incl. GST quote. You've already paid the $1,035 incl. GST deposit, so th</t>
  </si>
  <si>
    <t xml:space="preserve">19dfaf012a5c2464</t>
  </si>
  <si>
    <t xml:space="preserve">INV-CC-001</t>
  </si>
  <si>
    <t xml:space="preserve">18 Hewson Cres - window frame staining</t>
  </si>
  <si>
    <t xml:space="preserve">No reply and no payment confirmation anywhere in the mailbox. | Invoice number taken from the attachment filename 'INV-CC-001.pdf'. Email body is one line ('Please find attached invoice for the window frame work') with NO amount. Amount must be obtained from the PDF or the accounting system. Single-message thread, no customer response - payment status genuinely unknown.</t>
  </si>
  <si>
    <t xml:space="preserve">19dfafe013d411e8</t>
  </si>
  <si>
    <t xml:space="preserve">2026-05-21</t>
  </si>
  <si>
    <t xml:space="preserve">INV-028-Final</t>
  </si>
  <si>
    <t xml:space="preserve">10 McLeod Ave - exterior cedar stain (Resene Woodsman Natural, Smokey Ash), incl. garage door and side elevations</t>
  </si>
  <si>
    <t xml:space="preserve">2026-06-15</t>
  </si>
  <si>
    <t xml:space="preserve">Toni Fox 21 May: 'I will send the photos to the owner and process the invoice'. 25 May Toni asked to pay in full on 15 June (owner's account short); Brad agreed: 'No worries.. the 15th works.' A Home &amp; Co supplier remittance email was received 15 June 2026 (thread 19ec8e475826ee93, ID RBRE460060-RBAG000016). NOTE: the remittance detail is a PDF attachment that could not be read, so the allocation of that remittance to this invoice is INFERRED from the agreed date, not proven. | Invoice number from attachment filename 'INV-028-Final.pdf'. No amount anywhere in the email body - get it from the P</t>
  </si>
  <si>
    <t xml:space="preserve">19e46d6cd2a5acb7</t>
  </si>
  <si>
    <t xml:space="preserve">2026-05-26</t>
  </si>
  <si>
    <t xml:space="preserve">INV-034-DEP</t>
  </si>
  <si>
    <t xml:space="preserve">Terry Emmitt (Secretary); Gordon Stewart (Treasurer)</t>
  </si>
  <si>
    <t xml:space="preserve">Central Lakes Equestrian Club Inc</t>
  </si>
  <si>
    <t xml:space="preserve">Administration Building, Cromwell Racecourse Reserve - repaint hallway/stairwell/access passageways (30% deposit)</t>
  </si>
  <si>
    <t xml:space="preserve">The Club's Treasurer ATTEMPTED payment on 26 May 2026 but it failed: Terry Emmitt 27 May (NZ): 'Last night our Treasurer tried to deposit $1,794 into the ANZ account outlined on the Invoice but the system said the account number is invalid.' Brad re-issued the invoice with correct BNZ details the same day. NO subsequent confirmation of successful payment appears in the mailbox. | RE-ISSUED 27 May 2026 (NZ) with corrected bank account details. Original showed an invalid ANZ account (old template); revised invoice shows Lakeside Painting Limited, BNZ 02-0312-0183213-000, reference INV-034-DEP. A</t>
  </si>
  <si>
    <t xml:space="preserve">19d8a038ac00b2ae</t>
  </si>
  <si>
    <t xml:space="preserve">2026-06-06</t>
  </si>
  <si>
    <t xml:space="preserve">INV-034-FIN</t>
  </si>
  <si>
    <t xml:space="preserve">Terry Emmitt (Secretary); invoice passed to Gordon Stewart (Treasurer)</t>
  </si>
  <si>
    <t xml:space="preserve">Administration Building, Cromwell Racecourse Reserve - hallway, stairwell and access areas repaint (balance on completion)</t>
  </si>
  <si>
    <t xml:space="preserve">Terry Emmitt 8 June 2026: 'Have sent invoice to Gordon Stewart our Treasurer.' That is acknowledgement of receipt only - no payment confirmation anywhere in the mailbox. | Brad's email states: 'the final invoice (INV-034-FIN) for the balance of $4,186.00 (incl. GST) ... payable on receipt.' Deposit $1,794.00 + final $4,186.00 = $5,980.00 = the approved quote total, so the job reconciles. Customer raised two post-completion points (second-floor passage not painted - Brad confirmed it was outside QUO-034 scope; a missing smoke alarm unit - Brad denied responsibility). Neither resulted in a credi</t>
  </si>
  <si>
    <t xml:space="preserve">19e9ab1a8f2f51be</t>
  </si>
  <si>
    <t xml:space="preserve">2026-06-13</t>
  </si>
  <si>
    <t xml:space="preserve">INV-B43C21</t>
  </si>
  <si>
    <t xml:space="preserve">32 Ash Avenue - interior repaint (ceilings, walls, hallway, bathroom) - 30% deposit to secure booking</t>
  </si>
  <si>
    <t xml:space="preserve">No reply in the thread. Home &amp; Co supplier remittance emails were received on 1 July 2026 (thread 19f1ba20aed22181) and 14 July 2026 (thread 19f630d70ec5abbc) - one of these most likely covers this deposit, but the remittance detail is in an unreadable PDF attachment so this is NOT confirmed. | Brad's email states: 'the deposit invoice (INV-B43C21) for 32 Ash Avenue. It's $1,130.74 incl GST, the 30% deposit ... Balance of $2,638.39 incl GST will be invoiced on completion.' Implied job total $3,769.13 incl GST. GST/ex split derived at 15%. Single-message thread.</t>
  </si>
  <si>
    <t xml:space="preserve">19ebeeeb440ee6b7</t>
  </si>
  <si>
    <t xml:space="preserve">INV-8836EB</t>
  </si>
  <si>
    <t xml:space="preserve">Jessica (Jess) Patrick (Property Manager)</t>
  </si>
  <si>
    <t xml:space="preserve">7 Cairnmuir Street - interior painting / bathroom ceilings (deposit to secure booking)</t>
  </si>
  <si>
    <t xml:space="preserve">2026-07-01</t>
  </si>
  <si>
    <t xml:space="preserve">Jess Patrick 16 June 2026: 'I will process that deposit today. It will be paid out to you on the 1st of July (We only do two pay outs a month)'. Confirmed retrospectively by Jess on 23 July: 'I have attached the first payment, and we paid $595 + Gst - $686.38'. A Home &amp; Co supplier remittance email was received 1 July 2026 (thread 19f1ba20aed22181). | THIS IS THE INVOICE WITH THE GST ERROR. Brad, 23 July 2026: 'The deposit invoice had GST added twice, which pushed the balance out to $1,601.54.' The deposit invoice was NOT re-issued and the customer paid it as issued ($686.38). The error was co</t>
  </si>
  <si>
    <t xml:space="preserve">19ec8451619105ae</t>
  </si>
  <si>
    <t xml:space="preserve">2026-06-26</t>
  </si>
  <si>
    <t xml:space="preserve">Amy Bixby</t>
  </si>
  <si>
    <t xml:space="preserve">Amy Bixby Jewellery (invoice sent to personal address amy.bixby@gmail.com)</t>
  </si>
  <si>
    <t xml:space="preserve">Not stated in the email - job squeezed in during w/c 22 June 2026</t>
  </si>
  <si>
    <t xml:space="preserve">Customer reply same day, 26 June 2026: 'Thanks guys, paid and reviewed. Thanks again for an awesome job and for squeezing us in this week.' | Attachment filename is 'Invoice - Amy Bixby.pdf' - no invoice number and no amount anywhere in the email text. Amount and invoice number must come from the PDF or the accounting system. Payment is confirmed; only the value is missing.</t>
  </si>
  <si>
    <t xml:space="preserve">19f01fe9fefc9033</t>
  </si>
  <si>
    <t xml:space="preserve">2026-07-03</t>
  </si>
  <si>
    <t xml:space="preserve">32 Ash Avenue - interior repaint, final invoice on completion (living room ceiling, bedroom ceiling, ensuite ceiling, bathroom wall, hallway)</t>
  </si>
  <si>
    <t xml:space="preserve">No payment confirmation in the thread (Toni only discusses photos for the owner). Home &amp; Co supplier remittance emails were received 14 July 2026 and 3 August 2026 - one may cover this, but the remittance PDFs could not be read. | DERIVED AMOUNT: the final-invoice email itself states no figure ('Final invoice attached for 32 Ash Ave'), attachment 'Invoice-32-ash-ave.pdf' with no invoice number. The $2,638.39 incl GST is the balance Brad explicitly quoted in the 13 June deposit email for this same job ('Balance of $2,638.39 incl GST will be invoiced on completion'). Verify against the PDF befor</t>
  </si>
  <si>
    <t xml:space="preserve">19f24f2851823b6d</t>
  </si>
  <si>
    <t xml:space="preserve">2026-07-17</t>
  </si>
  <si>
    <t xml:space="preserve">INV-J20-F</t>
  </si>
  <si>
    <t xml:space="preserve">4 Perrow Street, Wanaka - interior ceiling repaint (final / remaining balance)</t>
  </si>
  <si>
    <t xml:space="preserve">Single-message thread, no reply and no payment confirmation in the mailbox. | Invoice number from attachment filename 'Invoice-interior-ceiling-repaint-4-perrow-street-INV-J20-F.pdf'. Email says only 'the invoice for the remaining balance' with no figure. Context: quote QUO-034 for this job was $3,450 + GST = $3,967.50 incl GST, and a deposit invoice INV-Q034-deposit was issued 28 April 2026 and paid 29 April 2026 ('deposit paid mate'). The deposit AMOUNT was never stated in any email. IF the deposit followed Lakeside's usual 30% (not stated for this job), the balance would be about $2,777.25 </t>
  </si>
  <si>
    <t xml:space="preserve">19f6de9138ab92f0</t>
  </si>
  <si>
    <t xml:space="preserve">2026-07-23</t>
  </si>
  <si>
    <t xml:space="preserve">INV-Q040</t>
  </si>
  <si>
    <t xml:space="preserve">7 Cairnmuir Street - bathroom ceilings repaint, job complete (final / balance owing)</t>
  </si>
  <si>
    <t xml:space="preserve">Jess Patrick 23 July 2026: 'If you can please clear that up we will pay the invoice at the end of the month.' No payment confirmation in the thread. A Home &amp; Co supplier remittance email was received 3 August 2026 (thread 19fc56821a04e21d) which may cover it - PDF unreadable, so unconfirmed. Treat as UNPAID at 31 July 2026 unless the bank statement shows otherwise. | RE-ISSUED / CORRECTED - THIS IS THE KNOWN GST DOUBLE-CHARGE. INV-Q040 was first emailed 23 July 2026 12:52pm NZ showing a balance of $1,601.54 incl GST. The customer queried it. Brad replied the same day: 'The deposit invoice had </t>
  </si>
  <si>
    <t xml:space="preserve">19f8c6bb570ac75a</t>
  </si>
  <si>
    <t xml:space="preserve">TOTAL</t>
  </si>
  <si>
    <t xml:space="preserve">Of which verified</t>
  </si>
  <si>
    <t xml:space="preserve">Unverified / derived</t>
  </si>
  <si>
    <t xml:space="preserve">Not confirmed paid</t>
  </si>
  <si>
    <t xml:space="preserve">Supplier Bills &amp; Receipts</t>
  </si>
  <si>
    <t xml:space="preserve">Lakeside Painting Limited · 19 Jan – 31 Jul 2026 · all amounts NZD · negative = credit note / refund</t>
  </si>
  <si>
    <t xml:space="preserve">Bill date</t>
  </si>
  <si>
    <t xml:space="preserve">Supplier</t>
  </si>
  <si>
    <t xml:space="preserve">Description / PO</t>
  </si>
  <si>
    <t xml:space="preserve">Category</t>
  </si>
  <si>
    <t xml:space="preserve">Credit note?</t>
  </si>
  <si>
    <t xml:space="preserve">How paid / evidence</t>
  </si>
  <si>
    <t xml:space="preserve">Notes</t>
  </si>
  <si>
    <t xml:space="preserve">Trademax NZ Limited</t>
  </si>
  <si>
    <t xml:space="preserve">2905</t>
  </si>
  <si>
    <t xml:space="preserve">Easy Access all-in-one telescopic ladder 1.5m/5ft</t>
  </si>
  <si>
    <t xml:space="preserve">Equipment</t>
  </si>
  <si>
    <t xml:space="preserve">2026-02-14</t>
  </si>
  <si>
    <t xml:space="preserve">Stripe receipt #1371-7836 from Trademax's merchant entity 'LR, GM, M &amp; C McLean Partnership' (sales@trademax.co.nz), NZ$1,201.86 paid 14 Feb 2026, summary: 'Statement payment for invoice(s): WANAKA - 2905, WANAKA - 3013, WANAKA - 3023, WANAKA - 3118, WANAKA - 3119'. Matches the 31 Jan 2026 statement balance exactly. Stripe thread 19c58dfb84830e10.</t>
  </si>
  <si>
    <t xml:space="preserve">Lightspeed receipt #2905 = Xero invoice 'WANAKA - 2905' ($638.25, due 20 Feb 2026). One purchase, two emails.</t>
  </si>
  <si>
    <t xml:space="preserve">19bdd4acf284f767</t>
  </si>
  <si>
    <t xml:space="preserve">AA Insurance Limited</t>
  </si>
  <si>
    <t xml:space="preserve">ASP036773136</t>
  </si>
  <si>
    <t xml:space="preserve">AA Small Business Insurance annual policy. Cover: (1) Commercial Vehicles - Vehicle 1 rego RPL199, 2010 Mazda E1800 Van SWB, Third Party Only, use 'Tools Carrying', third party liability limit $20,000,000, standard excess $500; (2) Public and Product</t>
  </si>
  <si>
    <t xml:space="preserve">Insurance</t>
  </si>
  <si>
    <t xml:space="preserve">First instalment 2026-01-21, then 21st of each month</t>
  </si>
  <si>
    <t xml:space="preserve">Partially Paid Then Defaulted. 21 Feb 2026 Instalment Declined For Insufficient Funds (Aa Letter 25 Feb 2026). Aa Re-Attempted And Failed Again; Final Payment Reminder 11 Mar 2026 Stated The Policy Would Automatically Cancel Without Further Notice If The Outstanding Premium Was Not Received By The Next Monthly Debit Date (21 Mar 2026). No Further Correspondence On This Policy Number Exists In The Mailbox After 11 Mar 2026.</t>
  </si>
  <si>
    <t xml:space="preserve">DIRECT DEBIT ON A PERSONAL VISA CARD. Policy letter page 2: Account name 'BRADLEY HAMILTON', card type VISA CARD, card number 459694******7490, authorised by BRADLEY HAMILTON, instalment $69.38 on the 21st of every month. A Direct Debit Service Agreement PDF was attached to the 21 Jan 2026 email. The card is in Bradley Hamilton's personal name, NOT the company's - this is a personally-funded payme</t>
  </si>
  <si>
    <t xml:space="preserve">CRITICAL FOR THE ACCOUNTANT: the named insured on this policy is 'Rank Higher Limited' and 'Bradley Hamilton', with trading name 'Lakeside Painting'. It is NOT in the name of Lakeside Painting Limited. The premium was also paid from a personal VISA card. Both points affect whether Lakeside Painting Limited can claim this cost. Attachments read: Policy Letter, Policy Schedule, Direct Debit Service </t>
  </si>
  <si>
    <t xml:space="preserve">19bde424a52be33b</t>
  </si>
  <si>
    <t xml:space="preserve">2026-01-23</t>
  </si>
  <si>
    <t xml:space="preserve">Dulux</t>
  </si>
  <si>
    <t xml:space="preserve">0907154714</t>
  </si>
  <si>
    <t xml:space="preserve">stock</t>
  </si>
  <si>
    <t xml:space="preserve">Materials &amp; paint</t>
  </si>
  <si>
    <t xml:space="preserve">Feb 2026 Dulux statement (thread 19ca71224bb8d58a) shows payment 14/02/2026 EFT 146009 $216.85, clearing the Jan 2026 closing balance of $216.85 (this invoice only).</t>
  </si>
  <si>
    <t xml:space="preserve">Corroborated by Dulux monthly statement for account 146009. GST split derived at 15% (total x 3/23); only the GST-inclusive total was stated in the email.</t>
  </si>
  <si>
    <t xml:space="preserve">19bec2c4d936e09a</t>
  </si>
  <si>
    <t xml:space="preserve">3013</t>
  </si>
  <si>
    <t xml:space="preserve">LED rechargeable worklight, 2ft folding platform, 3-step double-sided ladder 0.9m, tape measure</t>
  </si>
  <si>
    <t xml:space="preserve">Includes a $2.25 discount on the folding platform (total savings line). The 3-step ladder on this receipt was later returned - see credit note 3909 of 20 Feb 2026. Lightspeed #3013 = Xero 'WANAKA - 3013'.</t>
  </si>
  <si>
    <t xml:space="preserve">19be833429bb37c2</t>
  </si>
  <si>
    <t xml:space="preserve">3023</t>
  </si>
  <si>
    <t xml:space="preserve">2 x white 10L bucket pails with lids</t>
  </si>
  <si>
    <t xml:space="preserve">Consumables</t>
  </si>
  <si>
    <t xml:space="preserve">Lightspeed #3023 = Xero 'WANAKA - 3023'.</t>
  </si>
  <si>
    <t xml:space="preserve">19bf68ddcc4eece2</t>
  </si>
  <si>
    <t xml:space="preserve">3118</t>
  </si>
  <si>
    <t xml:space="preserve">2 x Pelican hand-held pails, microfibre roller sleeves 9mm &amp; 6mm 10pk, nook frame, pail liners 3pk</t>
  </si>
  <si>
    <t xml:space="preserve">Lightspeed #3118 = Xero 'WANAKA - 3118'.</t>
  </si>
  <si>
    <t xml:space="preserve">19c00e8c2ccb205b</t>
  </si>
  <si>
    <t xml:space="preserve">3119</t>
  </si>
  <si>
    <t xml:space="preserve">Nook frame - soft grip 26cm threaded</t>
  </si>
  <si>
    <t xml:space="preserve">Separate 3-minute-later transaction from #3118, same item repeated. Lightspeed #3119 = Xero 'WANAKA - 3119'.</t>
  </si>
  <si>
    <t xml:space="preserve">19c00eeb55e85fc9</t>
  </si>
  <si>
    <t xml:space="preserve">2026-02-03</t>
  </si>
  <si>
    <t xml:space="preserve">0907315824</t>
  </si>
  <si>
    <t xml:space="preserve">Pennys House</t>
  </si>
  <si>
    <t xml:space="preserve">2026-03-18</t>
  </si>
  <si>
    <t xml:space="preserve">Mar 2026 Dulux statement (thread 19d47cad7b094bc9) shows payment 18/03/2026 EFT 146009 $1,076.85, clearing the Feb 2026 closing balance of $1,076.85 (all 8 Feb invoices).</t>
  </si>
  <si>
    <t xml:space="preserve">19c243931f9ce817</t>
  </si>
  <si>
    <t xml:space="preserve">3333</t>
  </si>
  <si>
    <t xml:space="preserve">Gib Roc tape 75m, GIB Plus 4 compound 4L bucket</t>
  </si>
  <si>
    <t xml:space="preserve">No payment receipt in the mailbox. Inferred settled during March 2026: the 28 Feb 2026 statement shows $238.17 outstanding (3333 + 3397 + 3910 less credit 3909) and the 31 Mar 2026 statement shows only $219.34, i.e. the two March invoices, so the February balance had cleared. Exact payment date unknown.</t>
  </si>
  <si>
    <t xml:space="preserve">Lightspeed #3333 = Xero 'WANAKA - 3333' ($54.60, due 20 Mar 2026).</t>
  </si>
  <si>
    <t xml:space="preserve">19c20b37223ef6b6</t>
  </si>
  <si>
    <t xml:space="preserve">2026-02-04</t>
  </si>
  <si>
    <t xml:space="preserve">3397</t>
  </si>
  <si>
    <t xml:space="preserve">Super-Tex carpet protection 500mm x 75m</t>
  </si>
  <si>
    <t xml:space="preserve">Lightspeed #3397 = Xero 'WANAKA - 3397' ($47.50, due 20 Mar 2026).</t>
  </si>
  <si>
    <t xml:space="preserve">19c266eb2c61020f</t>
  </si>
  <si>
    <t xml:space="preserve">2026-02-11</t>
  </si>
  <si>
    <t xml:space="preserve">0907460733</t>
  </si>
  <si>
    <t xml:space="preserve">1 Perrow Street</t>
  </si>
  <si>
    <t xml:space="preserve">Mar 2026 Dulux statement shows payment 18/03/2026 EFT $1,076.85 clearing the Feb 2026 balance (all 8 Feb invoices).</t>
  </si>
  <si>
    <t xml:space="preserve">Corroborated by Dulux monthly statement for account 146009. Emailed together with 0907464202. GST split derived at 15% (total x 3/23); only the GST-inclusive total was stated in the email.</t>
  </si>
  <si>
    <t xml:space="preserve">19c4d68c42370b70</t>
  </si>
  <si>
    <t xml:space="preserve">0907464202</t>
  </si>
  <si>
    <t xml:space="preserve">1 Perrow street</t>
  </si>
  <si>
    <t xml:space="preserve">Corroborated by Dulux monthly statement for account 146009. Emailed together with 0907460733. GST split derived at 15% (total x 3/23); only the GST-inclusive total was stated in the email.</t>
  </si>
  <si>
    <t xml:space="preserve">2026-02-20</t>
  </si>
  <si>
    <t xml:space="preserve">3909</t>
  </si>
  <si>
    <t xml:space="preserve">RETURN: 1 x Easy Access 3-step double-sided ladder 0.9m (OXDS03)</t>
  </si>
  <si>
    <t xml:space="preserve">CREDIT NOTE. Lightspeed receipt #3909 shows qty -1, subtotal -$150.00, GST -$22.50, TOTAL -$172.50. Returns the 3-step ladder bought on #3013 (23 Jan 2026). The Xero email is worded 'Here's invoice WANAKA - 3909 for NZD 172.50' but its attachment is named 'Credit Note WANAKA - 3909.pdf', and the 28 Feb 2026 statement arithmetic confirms it is a credit: 54.60 + 47.50 + 308.57 - 172.50 = 238.17. Rec</t>
  </si>
  <si>
    <t xml:space="preserve">19c78063e176eb29</t>
  </si>
  <si>
    <t xml:space="preserve">3910</t>
  </si>
  <si>
    <t xml:space="preserve">Easy Access 4-step double-sided ladder 1.2m, 2 x delicate purple tape, microfibre roller sleeves 6mm &amp; 9mm 10pk, masking tape 300mm</t>
  </si>
  <si>
    <t xml:space="preserve">Bought 17 minutes after the ladder return #3909 - the 3-step ladder was swapped for this 4-step. Mixed receipt: ladder $190.00 (equipment) plus $78.32 of tapes and roller sleeves (consumables). Lightspeed #3910 = Xero 'WANAKA - 3910'.</t>
  </si>
  <si>
    <t xml:space="preserve">19c7815b3fe3fc71</t>
  </si>
  <si>
    <t xml:space="preserve">0907698868</t>
  </si>
  <si>
    <t xml:space="preserve">50 Dale</t>
  </si>
  <si>
    <t xml:space="preserve">19c9059ff3ee0bca</t>
  </si>
  <si>
    <t xml:space="preserve">2026-02-26</t>
  </si>
  <si>
    <t xml:space="preserve">0907747267</t>
  </si>
  <si>
    <t xml:space="preserve">TROY</t>
  </si>
  <si>
    <t xml:space="preserve">Corroborated by Dulux monthly statement for account 146009. One of 4 invoices in a single email; PO/location taken from the Feb statement. GST split derived at 15% (total x 3/23); only the GST-inclusive total was stated in the email.</t>
  </si>
  <si>
    <t xml:space="preserve">19c9aa49b8e25f94</t>
  </si>
  <si>
    <t xml:space="preserve">0907747564</t>
  </si>
  <si>
    <t xml:space="preserve">STOCK</t>
  </si>
  <si>
    <t xml:space="preserve">0907747629</t>
  </si>
  <si>
    <t xml:space="preserve">DANYA</t>
  </si>
  <si>
    <t xml:space="preserve">0907747634</t>
  </si>
  <si>
    <t xml:space="preserve">Tool Junction Ltd</t>
  </si>
  <si>
    <t xml:space="preserve">25118 (order #5126)</t>
  </si>
  <si>
    <t xml:space="preserve">FESTOOL DTSC400 Delta Sander Hybrid Set (578141) x1. Freight free.</t>
  </si>
  <si>
    <t xml:space="preserve">Shopify order confirmation states: 'Payment / Visa / ending with 5996'. CARD ENDING 5996 — the accountant should confirm whether this is the company card or Bradley's personal card; the same card (5996) was used for the Hireworx hire payment.</t>
  </si>
  <si>
    <t xml:space="preserve">Order confirmation (thread 19c9da6ad21a7f81, 2026-02-27) carries the full price breakdown. Tax invoice #25118 was emailed separately on 2026-03-01 as a PDF (thread 19cab1da66a60e77) — invoice date on the PDF may read 2 March 2026. Largest single capital purchase found in the period.</t>
  </si>
  <si>
    <t xml:space="preserve">19c9da6ad21a7f81</t>
  </si>
  <si>
    <t xml:space="preserve">Taskhound (Taskhound Limited), 10 Dow Close, Wanaka</t>
  </si>
  <si>
    <t xml:space="preserve">INV-0020</t>
  </si>
  <si>
    <t xml:space="preserve">Maintenance/handyman work. Lines: Vehicle and Technician 1.00 @ $40.00 = $40.00; Replacement of 4x exterior corner moulding 1.00 @ $80.00 = $80.00; Job Materials and Consumables (screws, sealants, fittings and other items used in service delivery) 1.</t>
  </si>
  <si>
    <t xml:space="preserve">Subcontractor</t>
  </si>
  <si>
    <t xml:space="preserve">Unknown - Invoice Due 6 Mar 2026. No Remittance, Receipt Or Payment Confirmation For This Invoice Exists Anywhere In The Mailbox.</t>
  </si>
  <si>
    <t xml:space="preserve">Invoice requests bank deposit to Taskhound Limited, Kiwibank 38-9027-0333199-00, using the invoice number as reference. No card or cash indicator.</t>
  </si>
  <si>
    <t xml:space="preserve">Delivered as a Xero-generated 'invoice is due' email with the PDF attached. Terms: payment within 7 days, 10% interest on overdue amounts.</t>
  </si>
  <si>
    <t xml:space="preserve">19c9d7fead466921</t>
  </si>
  <si>
    <t xml:space="preserve">2026-03-03</t>
  </si>
  <si>
    <t xml:space="preserve">4224</t>
  </si>
  <si>
    <t xml:space="preserve">2 x Pelican pail liners 3pk, Norton no-fil sandpaper roll 115mm 120g, dual-angle blue</t>
  </si>
  <si>
    <t xml:space="preserve">2026-04-19</t>
  </si>
  <si>
    <t xml:space="preserve">Stripe receipt #1296-0588, NZ$219.34 paid 19 Apr 2026, summary: 'Statement payment for invoice(s): WANAKA - 4224, WANAKA - 4262'. Matches the 31 Mar 2026 statement balance exactly. Stripe thread 19da392f69375360.</t>
  </si>
  <si>
    <t xml:space="preserve">Lightspeed #4224 = Xero 'WANAKA - 4224'.</t>
  </si>
  <si>
    <t xml:space="preserve">19cb0148257ade86</t>
  </si>
  <si>
    <t xml:space="preserve">4262</t>
  </si>
  <si>
    <t xml:space="preserve">Wire brush, 3 x Haydn pro edge scrapers (25/38/50mm), Pal contract filler 210ml, Haydn extension pole 1.6-3.2m, Arlec 20m extension lead, Ox 13mm small tool</t>
  </si>
  <si>
    <t xml:space="preserve">Mostly hand tools; includes $15.63 of filler (materials). Lightspeed #4262 = Xero 'WANAKA - 4262'.</t>
  </si>
  <si>
    <t xml:space="preserve">19cb13ee49e917f7</t>
  </si>
  <si>
    <t xml:space="preserve">0907837114</t>
  </si>
  <si>
    <t xml:space="preserve">56 SDALE STREET</t>
  </si>
  <si>
    <t xml:space="preserve">Apr 2026 Dulux statement (thread 19de27ee894aee49) shows payment 19/04/2026 EFT 146009 $202.31, which equals the Mar 2026 balance of $1,655.88 LESS invoice 0908015736 ($1,453.57); i.e. it cleared the four smaller March invoices.</t>
  </si>
  <si>
    <t xml:space="preserve">19cb9980245c0de7</t>
  </si>
  <si>
    <t xml:space="preserve">R&amp;S Trade Centre Ltd</t>
  </si>
  <si>
    <t xml:space="preserve">55377</t>
  </si>
  <si>
    <t xml:space="preserve">Festool Granat Delta sanding discs (120g x26, 80g x26, 150g x25) + flat rate shipping</t>
  </si>
  <si>
    <t xml:space="preserve">Order confirmation states 'Payment method: Payment Express' — paid online at time of order, not on account.</t>
  </si>
  <si>
    <t xml:space="preserve">Amounts read from the WooCommerce order confirmation body. The matching tax invoice PDF was emailed 2026-03-05 (thread 19cbc46c7417a3c2). Consumables, not capital.</t>
  </si>
  <si>
    <t xml:space="preserve">19cb70cb1b334384</t>
  </si>
  <si>
    <t xml:space="preserve">2026-03-13</t>
  </si>
  <si>
    <t xml:space="preserve">0908015736</t>
  </si>
  <si>
    <t xml:space="preserve">113 R3</t>
  </si>
  <si>
    <t xml:space="preserve">Appears on the Mar 2026 statement but was NOT included in the 19/04/2026 payment of $202.31 (= March total less this invoice). It never reappears on any later statement and no month shows an Overdue balance, so it was removed from account 146009 (credited/reversed/transferred). No credit note email was found.</t>
  </si>
  <si>
    <t xml:space="preserve">ANOMALY: same amount and same PO ('113 R3') as invoice 0908369599 dated 02/04/2026 - likely a duplicate/re-issue pair. Verify with Dulux before booking. GST split derived at 15% (total x 3/23); only the GST-inclusive total was stated in the email.</t>
  </si>
  <si>
    <t xml:space="preserve">19ce8214edf30017</t>
  </si>
  <si>
    <t xml:space="preserve">2026-03-16</t>
  </si>
  <si>
    <t xml:space="preserve">0908038921</t>
  </si>
  <si>
    <t xml:space="preserve">WES BATHROOM</t>
  </si>
  <si>
    <t xml:space="preserve">Apr 2026 Dulux statement shows payment 19/04/2026 EFT $202.31 = March total less invoice 0908015736; covers this invoice.</t>
  </si>
  <si>
    <t xml:space="preserve">Corroborated by Dulux monthly statement for account 146009. One of 3 invoices in a single email; PO/location taken from the Mar statement. GST split derived at 15% (total x 3/23); only the GST-inclusive total was stated in the email.</t>
  </si>
  <si>
    <t xml:space="preserve">19cf76043a4a9c56</t>
  </si>
  <si>
    <t xml:space="preserve">0908040110</t>
  </si>
  <si>
    <t xml:space="preserve">0908051787</t>
  </si>
  <si>
    <t xml:space="preserve">2026-03-25</t>
  </si>
  <si>
    <t xml:space="preserve">55570</t>
  </si>
  <si>
    <t xml:space="preserve">Festool Granat Delta sanding discs (60g x50, 100g x30). Free shipping.</t>
  </si>
  <si>
    <t xml:space="preserve">Order confirmation states 'Payment method: Payment Express' — paid online at time of order.</t>
  </si>
  <si>
    <t xml:space="preserve">Tax invoice PDF emailed 2026-03-26 (thread 19d286b55f77ba01).</t>
  </si>
  <si>
    <t xml:space="preserve">19d23a54344a9a43</t>
  </si>
  <si>
    <t xml:space="preserve">2026-03-30</t>
  </si>
  <si>
    <t xml:space="preserve">5173</t>
  </si>
  <si>
    <t xml:space="preserve">50 x Norton No-Fil SG 125mm 60G sanding discs</t>
  </si>
  <si>
    <t xml:space="preserve">No Xero invoice was ever issued for this receipt and it does not appear on the 31 Mar 2026 statement ($219.34 = invoices 4224 + 4262 only), because it was reversed in full 47 minutes later by refund #5175. Net charge to the account: nil.</t>
  </si>
  <si>
    <t xml:space="preserve">Reversed in full the same day by credit note #5175. Lightspeed only - no matching Xero invoice. Net effect on the account is zero; include only if the accountant wants the gross in/out shown.</t>
  </si>
  <si>
    <t xml:space="preserve">19d3becddd00c80d</t>
  </si>
  <si>
    <t xml:space="preserve">5175</t>
  </si>
  <si>
    <t xml:space="preserve">REFUND: 50 x Norton No-Fil SG 125mm 60G sanding discs</t>
  </si>
  <si>
    <t xml:space="preserve">No Xero credit note email; does not appear on the 31 Mar 2026 statement. Offsets receipt #5173 exactly.</t>
  </si>
  <si>
    <t xml:space="preserve">CREDIT NOTE / REFUND. Lightspeed receipt #5175 shows qty -50, subtotal -$89.10, GST -$13.37, TOTAL -$102.47, Note: 'refund'. Reverses #5173 issued 47 minutes earlier the same day.</t>
  </si>
  <si>
    <t xml:space="preserve">19d3c178f29e021e</t>
  </si>
  <si>
    <t xml:space="preserve">2026-03-31</t>
  </si>
  <si>
    <t xml:space="preserve">Google New Zealand Limited</t>
  </si>
  <si>
    <t xml:space="preserve">5530833582</t>
  </si>
  <si>
    <t xml:space="preserve">Google Workspace Business Standard - new commitment, service period 8 Mar 2026 to 31 Mar 2026, 1 seat. Domain lakesidepainting.co.nz. Billing ID 5705-6557-7587.</t>
  </si>
  <si>
    <t xml:space="preserve">Software &amp; subscriptions</t>
  </si>
  <si>
    <t xml:space="preserve">Auto-charged on/around 2026-04-01</t>
  </si>
  <si>
    <t xml:space="preserve">Paid Automatically</t>
  </si>
  <si>
    <t xml:space="preserve">Automatic card charge - email states 'The balance will be automatically charged so you don't have to do anything'. The card used is not disclosed in the invoice or email. Billing contact on the invoice is 'Bradley Hamilton, Lakeside Painting, 35 old racecourse road, Albert Town 9305' (home address, personal name).</t>
  </si>
  <si>
    <t xml:space="preserve">Part month only - the free trial ended 8 March 2026. GST is charged by a NZ-registered entity (Google New Zealand Limited, GST 93-685-547) at 15%, so the GST is claimable as a normal NZ input credit.</t>
  </si>
  <si>
    <t xml:space="preserve">19d499654471e4a3</t>
  </si>
  <si>
    <t xml:space="preserve">2026-04-02</t>
  </si>
  <si>
    <t xml:space="preserve">0908369599</t>
  </si>
  <si>
    <t xml:space="preserve">Does NOT appear on the Apr 2026 Dulux statement (which lists only $365.26 of April invoices) nor on any later statement, and no month shows an Overdue balance. No payment evidence and no credit note email found.</t>
  </si>
  <si>
    <t xml:space="preserve">ANOMALY: not on any monthly statement. Same amount ($1,453.57) and same PO ('113 R3') as invoice 0908015736 dated 13/03/2026 - likely a duplicate/re-issue pair. Verify with Dulux before booking. GST split derived at 15% (total x 3/23); only the GST-inclusive total was stated in the email.</t>
  </si>
  <si>
    <t xml:space="preserve">19d4f235804b8283</t>
  </si>
  <si>
    <t xml:space="preserve">55664</t>
  </si>
  <si>
    <t xml:space="preserve">Festool Granat Delta sanding discs (40g x20, 60g x60). Free shipping.</t>
  </si>
  <si>
    <t xml:space="preserve">Tax invoice PDF emailed 2026-04-08 (thread 19d6b5dd173ceb02).</t>
  </si>
  <si>
    <t xml:space="preserve">19d696d8fee69e29</t>
  </si>
  <si>
    <t xml:space="preserve">2026-04-15</t>
  </si>
  <si>
    <t xml:space="preserve">5653</t>
  </si>
  <si>
    <t xml:space="preserve">Intex LED 60W corded worklight, Intex 2.5W LED headlamp, Straitflex medium tape 30m, Gib Trade Finish Multi 15L, 2 x Futureprotect masking film, Gib paper tape 75m, microfibre roller sleeves</t>
  </si>
  <si>
    <t xml:space="preserve">2026-05-18</t>
  </si>
  <si>
    <t xml:space="preserve">Stripe receipt #1993-8510, NZ$475.51 paid 18 May 2026, summary: 'Payment for invoice(s) WANAKA - 5653'. Matches the 30 Apr 2026 statement balance exactly. Stripe thread 19e377b70171db52.</t>
  </si>
  <si>
    <t xml:space="preserve">Mixed receipt: $225.00 of lighting (equipment) and $188.49 of plaster/masking/roller stock (materials &amp; consumables). Categorised on the largest component. Lightspeed #5653 = Xero 'WANAKA - 5653'.</t>
  </si>
  <si>
    <t xml:space="preserve">19d8df6a95c6b6f0</t>
  </si>
  <si>
    <t xml:space="preserve">2026-04-21</t>
  </si>
  <si>
    <t xml:space="preserve">0908671574</t>
  </si>
  <si>
    <t xml:space="preserve">pizza hut</t>
  </si>
  <si>
    <t xml:space="preserve">May 2026 Dulux statement (thread 19e8224018579849) shows payment 18/05/2026 EFT 146009 $365.26, clearing the Apr 2026 closing balance of $365.26 (all 3 April invoices).</t>
  </si>
  <si>
    <t xml:space="preserve">19db0ff1f7dc5517</t>
  </si>
  <si>
    <t xml:space="preserve">0908695469</t>
  </si>
  <si>
    <t xml:space="preserve">nicoles job</t>
  </si>
  <si>
    <t xml:space="preserve">May 2026 Dulux statement shows payment 18/05/2026 EFT $365.26 clearing the Apr 2026 balance (all 3 April invoices).</t>
  </si>
  <si>
    <t xml:space="preserve">19db6248135734f0</t>
  </si>
  <si>
    <t xml:space="preserve">2026-04-24</t>
  </si>
  <si>
    <t xml:space="preserve">0908727761</t>
  </si>
  <si>
    <t xml:space="preserve">19dc0d7362367a76</t>
  </si>
  <si>
    <t xml:space="preserve">2026-04-30</t>
  </si>
  <si>
    <t xml:space="preserve">5553913919</t>
  </si>
  <si>
    <t xml:space="preserve">Google Workspace Business Standard - commitment, service period 1 Apr 2026 to 30 Apr 2026, 1 seat. Domain lakesidepainting.co.nz.</t>
  </si>
  <si>
    <t xml:space="preserve">Auto-charged on/around 2026-05-01</t>
  </si>
  <si>
    <t xml:space="preserve">Automatic card charge; card not disclosed.</t>
  </si>
  <si>
    <t xml:space="preserve">First full month at the standard rate: NZ$15.75 + GST = NZ$18.11.</t>
  </si>
  <si>
    <t xml:space="preserve">19de3d7b1dc02d76</t>
  </si>
  <si>
    <t xml:space="preserve">2026-05-04</t>
  </si>
  <si>
    <t xml:space="preserve">0908872288</t>
  </si>
  <si>
    <t xml:space="preserve">32 Melvin road</t>
  </si>
  <si>
    <t xml:space="preserve">2026-06-20</t>
  </si>
  <si>
    <t xml:space="preserve">Jun 2026 Dulux statement (thread 19f1ca2b14297a40) shows payment 20/06/2026 EFT 146009 $1,449.01, clearing the May 2026 closing balance of $1,449.01 (all 11 May invoices).</t>
  </si>
  <si>
    <t xml:space="preserve">19df3f039d26f41d</t>
  </si>
  <si>
    <t xml:space="preserve">2026-05-05</t>
  </si>
  <si>
    <t xml:space="preserve">WAN6330</t>
  </si>
  <si>
    <t xml:space="preserve">Dryden 10L clear base + Lite Oak+ tint 500ml, paint stirrer, microfibre roller sleeves 9mm &amp; 6mm, PAL Legend 75mm oval brush, 3 x pail liners</t>
  </si>
  <si>
    <t xml:space="preserve">Stripe receipt #1872-7279, NZ$588.00 paid 1 Jul 2026, summary: 'Statement payment for invoice(s): WANAKA - WAN6330'. This invoice was shown as the $588.00 overdue portion on the 30 Jun 2026 statement. Stripe thread 19f1ba7ab19f9123.</t>
  </si>
  <si>
    <t xml:space="preserve">Paid 11 days after the 20 Jun 2026 due date; shown as the $588.00 overdue figure on the 30 Jun 2026 statement. Lightspeed #WAN6330 = Xero 'WANAKA - WAN6330'. First receipt using the new WAN-prefixed numbering.</t>
  </si>
  <si>
    <t xml:space="preserve">19df4f3a6dec98eb</t>
  </si>
  <si>
    <t xml:space="preserve">Hireworx New Zealand Limited (Hireworx Wanaka)</t>
  </si>
  <si>
    <t xml:space="preserve">241515</t>
  </si>
  <si>
    <t xml:space="preserve">Equipment hire, delivered to 32 Malvern Road, Wanaka. Hire period Tue 5 May 2026 12:00 PM to Tue 5 May 2026 4:31 PM. Lines: Scaffold Tower 4.5m, 1 x Half Day @ $78.26 ex = $78.26; Delivery/Collection Hireworx National 0.25 Transporter Hourly @ $240.0</t>
  </si>
  <si>
    <t xml:space="preserve">Equipment Hire</t>
  </si>
  <si>
    <t xml:space="preserve">Paid In Full. Invoice Shows 'Amount Paid $170.08', 'Balance Due $0.00' And A Line Note '4/05/2026 - Card Payment Of $170.08'.</t>
  </si>
  <si>
    <t xml:space="preserve">CREDIT CARD (paid via the Pin Payments 'Pay Now' link). The invoice carries a 'National Credit Card Surcharge' of $2.83 ex GST, which confirms card payment. Payment terms on the invoice are shown as 'Cash account' (i.e. no trade credit account - pay on the day). Which card was used is not stated.</t>
  </si>
  <si>
    <t xml:space="preserve">IMPORTANT - do not use the $166.83 figure from the 4 May booking email. That was the pre-payment booking total. The final tax invoice dated 5 May 2026 is $170.08 incl GST (the $3.25 difference is the credit card surcharge of $2.83 plus its GST of $0.42). Use $170.08 / GST $22.19.</t>
  </si>
  <si>
    <t xml:space="preserve">19dfeac129634889</t>
  </si>
  <si>
    <t xml:space="preserve">2026-05-12</t>
  </si>
  <si>
    <t xml:space="preserve">0909019353</t>
  </si>
  <si>
    <t xml:space="preserve">Jun 2026 Dulux statement shows payment 20/06/2026 EFT $1,449.01 clearing the May 2026 balance (all 11 May invoices).</t>
  </si>
  <si>
    <t xml:space="preserve">19e1d241f48c65d2</t>
  </si>
  <si>
    <t xml:space="preserve">2026-05-13</t>
  </si>
  <si>
    <t xml:space="preserve">Resene</t>
  </si>
  <si>
    <t xml:space="preserve">424640171</t>
  </si>
  <si>
    <t xml:space="preserve">10 MCCLOUD AVE</t>
  </si>
  <si>
    <t xml:space="preserve">No payment evidence found. Not included in the 20/07/2026 MyResene direct-debit run (that run covered only 424763500, 424769024 and 424771838). Due date 20/06/2026 per the invoice PDF.</t>
  </si>
  <si>
    <t xml:space="preserve">Amount, invoice date and PO were NOT stated in the email body - read from the attached PDF tax invoice ('Invoice 424640171 Account D69359.pdf'). PDF states Subtotal $181.70, GST $27.26, Total $208.96, due 20/06/26, shop 087 Wanaka ColorShop. amounts_confirmed=false because the figure was not in the email body.</t>
  </si>
  <si>
    <t xml:space="preserve">19e206b52fa726ec</t>
  </si>
  <si>
    <t xml:space="preserve">424640175</t>
  </si>
  <si>
    <t xml:space="preserve">No payment evidence found. Not included in the 20/07/2026 MyResene direct-debit run. Due date 20/06/2026 per the invoice PDF.</t>
  </si>
  <si>
    <t xml:space="preserve">Amount, invoice date and PO were NOT stated in the email body - read from the attached PDF tax invoice ('Invoice 424640175 Account D69359.pdf'). PDF states Subtotal $52.00, GST $7.80, Total $59.80, due 20/06/26. amounts_confirmed=false because the figure was not in the email body.</t>
  </si>
  <si>
    <t xml:space="preserve">19e206b52c7bea70</t>
  </si>
  <si>
    <t xml:space="preserve">ASP036836160</t>
  </si>
  <si>
    <t xml:space="preserve">AA Small Business Insurance annual policy. Cover: (1) Commercial Vehicles - Vehicle 1 rego KAJ960, 2012 Nissan Caravan DX Van, Third Party Only, use 'Tools Carrying', third party liability limit $20,000,000, standard excess $500; (2) Public and Produ</t>
  </si>
  <si>
    <t xml:space="preserve">First instalment 2026-06-11, then 11th of each month</t>
  </si>
  <si>
    <t xml:space="preserve">Direct Debit Set Up; No Rejection Notices For This Policy Number Appear In The Mailbox, So Instalments Appear To Be Running. No Individual Payment Receipts Are Emailed By Aa.</t>
  </si>
  <si>
    <t xml:space="preserve">DIRECT DEBIT ON A VISA CARD IN THE COMPANY NAME. Policy letter page 2: Account name 'LAKESIDE PAINTING LTD', card type VISA CARD, card number 428455******5996, authorised by BRADLEY HAMILTON, instalment $70.77 on the 11th of every month. A Direct Debit Service Agreement PDF was attached. This is a DIFFERENT card from the one used on ASP036773136.</t>
  </si>
  <si>
    <t xml:space="preserve">Named insured is 'Lakeside Painting Limited' and 'Bradley Hamilton' - correct entity this time. An AA Member Discount was applied to this policy (none was applied to ASP036773136). Attachments read: Policy Letter, Policy Schedule, Direct Debit Service Agreement, Certificate of Currency. Both policy schedules answer 'sub-contractors or labour hire staff engaged at any one time: None' and 'Number of</t>
  </si>
  <si>
    <t xml:space="preserve">19e1e4c6acffb4dc</t>
  </si>
  <si>
    <t xml:space="preserve">0909118279</t>
  </si>
  <si>
    <t xml:space="preserve">Corroborated by Dulux monthly statement for account 146009. One of 5 invoices in a single email; PO/location taken from the May statement. GST split derived at 15% (total x 3/23); only the GST-inclusive total was stated in the email.</t>
  </si>
  <si>
    <t xml:space="preserve">19e3c0bb2f521a4d</t>
  </si>
  <si>
    <t xml:space="preserve">0909118555</t>
  </si>
  <si>
    <t xml:space="preserve">84 C aubary</t>
  </si>
  <si>
    <t xml:space="preserve">0909118566</t>
  </si>
  <si>
    <t xml:space="preserve">10 Mcloud av</t>
  </si>
  <si>
    <t xml:space="preserve">0909125287</t>
  </si>
  <si>
    <t xml:space="preserve">10 mcloud ave</t>
  </si>
  <si>
    <t xml:space="preserve">0909125389</t>
  </si>
  <si>
    <t xml:space="preserve">56035</t>
  </si>
  <si>
    <t xml:space="preserve">Festool Granat Delta sanding discs (120g x50, 150g x30) + flat rate shipping</t>
  </si>
  <si>
    <t xml:space="preserve">Tax invoice PDF emailed 2026-05-19 (thread 19e3ccaf8731a5a8, filename Cin7_Order_254905_56035_19_May_2026).</t>
  </si>
  <si>
    <t xml:space="preserve">19e375f6761455e9</t>
  </si>
  <si>
    <t xml:space="preserve">2026-05-20</t>
  </si>
  <si>
    <t xml:space="preserve">Pukka Ltd (Wanaka)</t>
  </si>
  <si>
    <t xml:space="preserve">INV/2026/00811</t>
  </si>
  <si>
    <t xml:space="preserve">Signage — two signs produced from Lakeside Painting artwork (quote ref S05815, 'Signs'). Likely vehicle/site signage.</t>
  </si>
  <si>
    <t xml:space="preserve">Advertising &amp; marketing</t>
  </si>
  <si>
    <t xml:space="preserve">Invoice asks for bank transfer to account 06-0943-0117749-00 quoting INV/2026/00811. Separate Pukka email 2026-05-20 ('Your job is completed') warns 'Non account holders must pay on pick up' — so this may have been PAID IN PERSON / ON PICKUP rather than by transfer. Worth checking the bank statement around 20 May 2026.</t>
  </si>
  <si>
    <t xml:space="preserve">Quote S05815 issued 2026-02-20 at the same $500.25; Brad formally accepted on 2026-05-12 ('Happy to go ahead with the signage'). Signwriting is confirmed as working — Riverslea PM commented 'Nice to hear the car signwriting is doing its job' (2026-07-02).</t>
  </si>
  <si>
    <t xml:space="preserve">19e438a52f4b86c6</t>
  </si>
  <si>
    <t xml:space="preserve">2026-05-22</t>
  </si>
  <si>
    <t xml:space="preserve">0909209638</t>
  </si>
  <si>
    <t xml:space="preserve">10 mcloud av</t>
  </si>
  <si>
    <t xml:space="preserve">Corroborated by Dulux monthly statement for account 146009. One of 2 invoices in a single email; PO/location taken from the May statement. GST split derived at 15% (total x 3/23); only the GST-inclusive total was stated in the email.</t>
  </si>
  <si>
    <t xml:space="preserve">19e50f0fd6302159</t>
  </si>
  <si>
    <t xml:space="preserve">0909215128</t>
  </si>
  <si>
    <t xml:space="preserve">10 mcloud avenue</t>
  </si>
  <si>
    <t xml:space="preserve">2026-05-25</t>
  </si>
  <si>
    <t xml:space="preserve">Print It Wanaka</t>
  </si>
  <si>
    <t xml:space="preserve">INV/2026/00501</t>
  </si>
  <si>
    <t xml:space="preserve">100 double-sided business cards, 90x55mm, 350gsm silk coated stock (ref S04961)</t>
  </si>
  <si>
    <t xml:space="preserve">Invoice says 'Please remit payment at your earliest convenience' quoting INV/2026/00501. No payment confirmation in email. Print It and Pukka share the same phone number (03 443 7804) and Odoo system — likely the same business, so this may also have been paid on pickup.</t>
  </si>
  <si>
    <t xml:space="preserve">Ordered same day (2026-05-25) via print@pukka.nz thread 19e5bef7f03c0c8c.</t>
  </si>
  <si>
    <t xml:space="preserve">19e5cf063546a79f</t>
  </si>
  <si>
    <t xml:space="preserve">2026-05-28</t>
  </si>
  <si>
    <t xml:space="preserve">0909307380</t>
  </si>
  <si>
    <t xml:space="preserve">CROMWELL RACETRACK</t>
  </si>
  <si>
    <t xml:space="preserve">Corroborated by Dulux monthly statement for account 146009. Sent from noreply.duluxnz@e.duluxgroup.com.au (Account ***009). GST split derived at 15% (total x 3/23); only the GST-inclusive total was stated in the email.</t>
  </si>
  <si>
    <t xml:space="preserve">19e6c0823b4385e0</t>
  </si>
  <si>
    <t xml:space="preserve">2026-05-29</t>
  </si>
  <si>
    <t xml:space="preserve">0909327913</t>
  </si>
  <si>
    <t xml:space="preserve">CROMWELL RESTRACK</t>
  </si>
  <si>
    <t xml:space="preserve">Corroborated by Dulux monthly statement for account 146009. Sent from noreply.duluxnz@e.duluxgroup.com.au (Account ***009). PO shown as 'CROMWELL RESTRACK' (apparent typo for RACETRACK). GST split derived at 15% (total x 3/23); only the GST-inclusive total was stated in the email.</t>
  </si>
  <si>
    <t xml:space="preserve">19e71602561d04e3</t>
  </si>
  <si>
    <t xml:space="preserve">2026-05-31</t>
  </si>
  <si>
    <t xml:space="preserve">5586540330</t>
  </si>
  <si>
    <t xml:space="preserve">Google Workspace Business Standard - commitment, service period 1 May 2026 to 31 May 2026, 1 seat. Domain lakesidepainting.co.nz.</t>
  </si>
  <si>
    <t xml:space="preserve">Auto-charged on/around 2026-06-02</t>
  </si>
  <si>
    <t xml:space="preserve">19e85e7b3d850224</t>
  </si>
  <si>
    <t xml:space="preserve">2026-06-02</t>
  </si>
  <si>
    <t xml:space="preserve">0909367643</t>
  </si>
  <si>
    <t xml:space="preserve">CROMWELL RACECOURSE</t>
  </si>
  <si>
    <t xml:space="preserve">2026-07-20</t>
  </si>
  <si>
    <t xml:space="preserve">Jul 2026 Dulux statement (thread 19fbb368feaa27d0) shows payment 20/07/2026 EFT 146009 $498.52, clearing the Jun 2026 closing balance of $498.52 (both June invoices).</t>
  </si>
  <si>
    <t xml:space="preserve">19e851db5c1c1fa9</t>
  </si>
  <si>
    <t xml:space="preserve">2026-06-03</t>
  </si>
  <si>
    <t xml:space="preserve">0909398550</t>
  </si>
  <si>
    <t xml:space="preserve">Jul 2026 Dulux statement shows payment 20/07/2026 EFT $498.52 clearing the Jun 2026 balance (both June invoices).</t>
  </si>
  <si>
    <t xml:space="preserve">19e8b17ea62c5f3b</t>
  </si>
  <si>
    <t xml:space="preserve">Wanaka Business Chamber (Wanaka &amp; District Chamber of Commerce &amp; Industry)</t>
  </si>
  <si>
    <t xml:space="preserve">INV-8210</t>
  </si>
  <si>
    <t xml:space="preserve">Membership - Tier 1, 06/2026 to 05/2027. Membership number 200708, account reference 20184769. Billed to Lakeside Painting Limited, 35 Old Racecourse Road, Wanaka 9305.</t>
  </si>
  <si>
    <t xml:space="preserve">Unknown - Due 20 Jul 2026. No Remittance Or Payment Confirmation In The Mailbox.</t>
  </si>
  <si>
    <t xml:space="preserve">Invoice requests bank transfer to Wanaka &amp; District Chamber of Commerce &amp; Industry, Westpac 03 1739 0007205 00. No card or cash indicator.</t>
  </si>
  <si>
    <t xml:space="preserve">Correctly addressed to Lakeside Painting Limited. Prepaid 12-month membership straddling the balance date - may need apportioning.</t>
  </si>
  <si>
    <t xml:space="preserve">19ec91d0871dcb2f</t>
  </si>
  <si>
    <t xml:space="preserve">2026-06-17</t>
  </si>
  <si>
    <t xml:space="preserve">Taskhound Limited, 10 Dow Close, Wanaka</t>
  </si>
  <si>
    <t xml:space="preserve">INV-0054</t>
  </si>
  <si>
    <t xml:space="preserve">Lines: Vehicle and Technician 1 @ $40.00 charged at $0.00 (waived); Labour 6.75 hrs @ $75.00 = $506.25 - 'Remove and rebuild plywood base, tops and horizontal drawer'; Materials 1 @ $352.64 (screws, sealants, fittings and other consumables). Invoice </t>
  </si>
  <si>
    <t xml:space="preserve">Unknown - Invoice Due 24 Jun 2026. No Remittance, Receipt Or Payment Confirmation Exists In The Mailbox.</t>
  </si>
  <si>
    <t xml:space="preserve">FLAG FOR REVIEW: the invoice reference is '35 Old Racecourse rd', which is Bradley Hamilton's home/business address, and the work described (remove and rebuild plywood base, tops and horizontal drawer) is joinery/cabinetry rather than painting. Worth confirming with Brad whether this is a business or private expense, and whether it should be capitalised. Terms: payment within 7 days, 1.5% per mont</t>
  </si>
  <si>
    <t xml:space="preserve">19ed5375598f2089</t>
  </si>
  <si>
    <t xml:space="preserve">2026-06-22</t>
  </si>
  <si>
    <t xml:space="preserve">WAN7942</t>
  </si>
  <si>
    <t xml:space="preserve">Gib Tradeset 45 5kg bag, mixing paddle, 2 x 10L paint pails</t>
  </si>
  <si>
    <t xml:space="preserve">Stripe receipt #1520-0614, NZ$347.90 paid 20 Jul 2026, summary: 'Statement payment for invoice(s): WANAKA - WAN7942, WANAKA - WAN8213' (53.45 + 294.45 = 347.90). Stripe thread 19f7c2350cba1240.</t>
  </si>
  <si>
    <t xml:space="preserve">Figures as printed on the receipt. Note the receipt's own rounding: subtotal $46.47 + GST $6.97 = $53.44, but the printed TOTAL and the Xero invoice both say $53.45 (Lightspeed rounds per line). Use $53.45. Mixed materials/consumables. Lightspeed #WAN7942 = Xero 'WANAKA - WAN7942'.</t>
  </si>
  <si>
    <t xml:space="preserve">19eed0f5b24db4f1</t>
  </si>
  <si>
    <t xml:space="preserve">424763500</t>
  </si>
  <si>
    <t xml:space="preserve">45 LINTON AVE</t>
  </si>
  <si>
    <t xml:space="preserve">Resene 'Payment made to MyResene' email 20/07/2026 (thread 19f7d844ca47808d) lists this invoice paid in full by Direct Debit, balance $0.00; matching 'Payment agreement made MyResene' email 19/07/2026 (thread 19f7c1fe1733ec61). Total run $490.03.</t>
  </si>
  <si>
    <t xml:space="preserve">Total $117.40 stated in the body of the accounts@resene.co.nz 'Resene | Invoice 424763500' email (thread 19f856c083156e34, 21/07/2026) and in the payment emails. Original e-invoice email 26/06/2026 (thread 19f02fdc3d7ee6ca) had the amount in the PDF only. Due 20/07/2026. GST split read from the attached PDF.</t>
  </si>
  <si>
    <t xml:space="preserve">19f02fdc3d7ee6ca</t>
  </si>
  <si>
    <t xml:space="preserve">2026-06-29</t>
  </si>
  <si>
    <t xml:space="preserve">424769024</t>
  </si>
  <si>
    <t xml:space="preserve">32 ASH AVENUE</t>
  </si>
  <si>
    <t xml:space="preserve">Total $265.66 stated in the body of the accounts@resene.co.nz email (thread 19f856c081d8eb15, 21/07/2026) and in the payment emails. Due 20/07/2026. GST split read from the attached PDF.</t>
  </si>
  <si>
    <t xml:space="preserve">19f12755541d19f3</t>
  </si>
  <si>
    <t xml:space="preserve">2026-06-30</t>
  </si>
  <si>
    <t xml:space="preserve">424771838</t>
  </si>
  <si>
    <t xml:space="preserve">32 ASH AVE</t>
  </si>
  <si>
    <t xml:space="preserve">Total $106.97 stated in the body of the accounts@resene.co.nz email (thread 19f856c07e60af93, 21/07/2026) and in the payment emails. Due 20/07/2026. GST split read from the attached PDF.</t>
  </si>
  <si>
    <t xml:space="preserve">19f179cf836ee96b</t>
  </si>
  <si>
    <t xml:space="preserve">WAN8213</t>
  </si>
  <si>
    <t xml:space="preserve">Bisley Flex &amp; Move zip utility cargo pant (stone, size 87), PUMA Tanami pull-on boot (brown, UK9)</t>
  </si>
  <si>
    <t xml:space="preserve">Workwear &amp; PPE</t>
  </si>
  <si>
    <t xml:space="preserve">Receipt Note reads 'Clothing'. The Xero thread 19f1acfaf2099649 holds two identical Xero sends of the same invoice (6 min apart) plus Brad's forward to the bookkeeping inbox - one purchase, not three. Lightspeed #WAN8213 = Xero 'WANAKA - WAN8213'.</t>
  </si>
  <si>
    <t xml:space="preserve">19f156141415ee1d</t>
  </si>
  <si>
    <t xml:space="preserve">5607652125</t>
  </si>
  <si>
    <t xml:space="preserve">Google Workspace Business Standard - commitment, service period 1 Jun 2026 to 30 Jun 2026, 1 seat. Domain lakesidepainting.co.nz.</t>
  </si>
  <si>
    <t xml:space="preserve">Auto-charged on/around 2026-07-01</t>
  </si>
  <si>
    <t xml:space="preserve">Higher than April/May because Google notified a Business Standard price change effective 8 June 2026 (thread 19e81fcd39068c5f). Running total for the 4 Google Workspace invoices in scope: $73.00 incl GST ($63.47 excl GST, $9.52 GST). No July invoice had arrived by 31 July 2026.</t>
  </si>
  <si>
    <t xml:space="preserve">19f1d46b3c023219</t>
  </si>
  <si>
    <t xml:space="preserve">2026-07-13</t>
  </si>
  <si>
    <t xml:space="preserve">0910038623</t>
  </si>
  <si>
    <t xml:space="preserve">4 perrow street</t>
  </si>
  <si>
    <t xml:space="preserve">Unpaid</t>
  </si>
  <si>
    <t xml:space="preserve">Jul 2026 Dulux statement (issued 01/08/2026) still shows this invoice as Current with an account balance of $172.35 outstanding; no payment recorded up to 31/07/2026.</t>
  </si>
  <si>
    <t xml:space="preserve">19f58b0697c8e337</t>
  </si>
  <si>
    <t xml:space="preserve">425300832</t>
  </si>
  <si>
    <t xml:space="preserve">4 PERROW ST</t>
  </si>
  <si>
    <t xml:space="preserve">Due for payment 20/08/2026 per the accounts@resene.co.nz email. No payment email found on or before 31/07/2026.</t>
  </si>
  <si>
    <t xml:space="preserve">Total $362.25 stated in the body of the accounts@resene.co.nz email (thread 19f856c0602976f3, 21/07/2026). Original e-invoice email 13/07/2026. GST split read from the attached PDF.</t>
  </si>
  <si>
    <t xml:space="preserve">19f5a8d89578e7f4</t>
  </si>
  <si>
    <t xml:space="preserve">2026-07-16</t>
  </si>
  <si>
    <t xml:space="preserve">0910113487</t>
  </si>
  <si>
    <t xml:space="preserve">4 pero street</t>
  </si>
  <si>
    <t xml:space="preserve">Corroborated by Dulux monthly statement for account 146009. Sent from noreply.duluxnz@e.duluxgroup.com.au (Account ***009). PO shown as '4 pero street' (apparent typo for Perrow). GST split derived at 15% (total x 3/23); only the GST-inclusive total was stated in the email.</t>
  </si>
  <si>
    <t xml:space="preserve">19f690360ee2253f</t>
  </si>
  <si>
    <t xml:space="preserve">425310813</t>
  </si>
  <si>
    <t xml:space="preserve">Total $148.26 stated in the body of the accounts@resene.co.nz email (thread 19f856c03f919bf9, 21/07/2026). Original e-invoice email 16/07/2026. GST split read from the attached PDF.</t>
  </si>
  <si>
    <t xml:space="preserve">19f6a01d0d59ff01</t>
  </si>
  <si>
    <t xml:space="preserve">425319907</t>
  </si>
  <si>
    <t xml:space="preserve">7 CAIRNMUIR ST</t>
  </si>
  <si>
    <t xml:space="preserve">Total $209.44 stated in the body of the accounts@resene.co.nz email. No separate einvoice@resene.co.nz e-invoice email was found for this invoice - it only arrived in the 21/07/2026 accounts@ batch. GST split read from the attached PDF.</t>
  </si>
  <si>
    <t xml:space="preserve">19f856c02e49afd9</t>
  </si>
  <si>
    <t xml:space="preserve">BY CATEGORY</t>
  </si>
  <si>
    <t xml:space="preserve">Ex GST</t>
  </si>
  <si>
    <t xml:space="preserve">Incl GST</t>
  </si>
  <si>
    <t xml:space="preserve">Total</t>
  </si>
  <si>
    <t xml:space="preserve">Credit Notes, Adjustments, Cancellations &amp; Doubtful Debts</t>
  </si>
  <si>
    <t xml:space="preserve">Everything that changes, reverses or casts doubt on an invoice in the period. Read this before booking the invoice tabs.</t>
  </si>
  <si>
    <t xml:space="preserve">Date</t>
  </si>
  <si>
    <t xml:space="preserve">Side</t>
  </si>
  <si>
    <t xml:space="preserve">Party</t>
  </si>
  <si>
    <t xml:space="preserve">Job</t>
  </si>
  <si>
    <t xml:space="preserve">Effect on income/cost (incl GST)</t>
  </si>
  <si>
    <t xml:space="preserve">What happened</t>
  </si>
  <si>
    <t xml:space="preserve">Action for the accountant</t>
  </si>
  <si>
    <t xml:space="preserve">18 Hewson Crescent, Lake Hawea</t>
  </si>
  <si>
    <t xml:space="preserve">Price Reduction</t>
  </si>
  <si>
    <t xml:space="preserve">Scaffold hire of $300 (+GST) removed from the final invoice because scaffolding was not needed. Job total reduced from $2,770 + GST to $2,470 + GST.</t>
  </si>
  <si>
    <t xml:space="preserve">Confirm the figure and that it reached the ledger.</t>
  </si>
  <si>
    <t xml:space="preserve">Flat repaint, Wanaka</t>
  </si>
  <si>
    <t xml:space="preserve">Cost Absorbed No Charge</t>
  </si>
  <si>
    <t xml:space="preserve">Job took 5 days on site instead of the quoted 3, with substantial extra prep and two coats where one was quoted. Lakeside honoured the original quoted price and charged no variation.</t>
  </si>
  <si>
    <t xml:space="preserve">Verified from email.</t>
  </si>
  <si>
    <t xml:space="preserve">29 Tomtit Crescent, Lake Hawea - retaining wall</t>
  </si>
  <si>
    <t xml:space="preserve">Variation Up</t>
  </si>
  <si>
    <t xml:space="preserve">Wall area larger than quoted (section continued behind the gate). Extra 4L Resene Lumbersider charged at $120 on the final invoice; the additional labour was NOT charged. Not stated whether the $120 is GST-inclusive or exclusive.</t>
  </si>
  <si>
    <t xml:space="preserve">2026-04-07</t>
  </si>
  <si>
    <t xml:space="preserve">Home &amp; Co. Property Management Ltd (Toni Fox) / property owner</t>
  </si>
  <si>
    <t xml:space="preserve">Cedar restain - believed to be 3 Merivale Avenue</t>
  </si>
  <si>
    <t xml:space="preserve">Variation Up Approved</t>
  </si>
  <si>
    <t xml:space="preserve">Additional $2,000 + GST ($2,300 incl) approved for extra prep after the old film-forming coating was found to be delaminating and chemically incompatible with the oil stain on the sun-exposed elevations. Requested 2 Apr 2026 (thread 19d4c8d493328bb0), approved 7 Apr 2026. CAUTION: the approval arrived as a reply inside the 10 McLeod Avenue thread (19d5efa8fce440b0) even though the work described is the 3 Merivale Avenue restain - confirm which job it was billed to.</t>
  </si>
  <si>
    <t xml:space="preserve">3 Parkview Street - interior repaint</t>
  </si>
  <si>
    <t xml:space="preserve">Job Cancelled After Invoicing</t>
  </si>
  <si>
    <t xml:space="preserve">Deposit invoice for $5,057.70 incl GST issued 26 Apr 2026. On 19 May 2026 (NZ) the customer advised the house had been sold and the job would not proceed; no work had started. Brad accepted the cancellation without comment on the deposit. NO credit note, refund or write-off appears in the mailbox. Needs resolution: was the deposit received, and is it being refunded, retained, or credited?</t>
  </si>
  <si>
    <t xml:space="preserve">32 Malvern Road - cedar staining</t>
  </si>
  <si>
    <t xml:space="preserve">Job Repriced Down After Period</t>
  </si>
  <si>
    <t xml:space="preserve">Job repriced from $3,450 incl GST to $2,528.85 incl GST after switching to a one-coat Dryden WoodOil approach. Final invoice INV-Q032-final issued 6 May 2026 for the $1,493.85 incl GST balance (OUTSIDE this period). Affects the in-period deposit invoice of $1,035 incl GST. Rebecca confirmed on 8 May 2026: 'The full invoice has been paid.'</t>
  </si>
  <si>
    <t xml:space="preserve">Kevin Henderson and Troy Nicholson</t>
  </si>
  <si>
    <t xml:space="preserve">3 Parkview Street deposit (26 Apr) and 4 Perrow Street ceiling deposit (28 Apr)</t>
  </si>
  <si>
    <t xml:space="preserve">Invoice Reference Clash</t>
  </si>
  <si>
    <t xml:space="preserve">Two DIFFERENT deposit invoices to two DIFFERENT customers were sent two days apart with the identical attachment filename 'INV-Q034-deposit.pdf'. Separately, the quote reference 'QUO-034' was also used for the Central Lakes Equestrian Club Administration Building quote of 15 Apr 2026 ($5,200 + GST). The quote/invoice numbering appears to have been reused across at least three unrelated jobs. Check the actual invoice numbers inside the PDFs and correct/re-issue if duplicated.</t>
  </si>
  <si>
    <t xml:space="preserve">Latch Build Ltd</t>
  </si>
  <si>
    <t xml:space="preserve">1 Ivy Lane - bathroom repair paint works</t>
  </si>
  <si>
    <t xml:space="preserve">Invoice Defect</t>
  </si>
  <si>
    <t xml:space="preserve">Invoice was issued with no payment due date. Latch Build applied their default of the 20th of the following month before agreeing to pull it back. No credit note; noted as an invoicing-process issue only.</t>
  </si>
  <si>
    <t xml:space="preserve">Home &amp; Co. Property Management Ltd (Jessica Patrick)</t>
  </si>
  <si>
    <t xml:space="preserve">7 Cairnmuir Street</t>
  </si>
  <si>
    <t xml:space="preserve">Invoice Reissued Gst Error</t>
  </si>
  <si>
    <t xml:space="preserve">GST was charged twice. Deposit invoice INV-8836EB was issued for $686.38 incl GST when the intended deposit was $596.85 (30% of the $1,989.50 GST-inclusive agreed price); the customer paid $686.38. Final invoice INV-Q040 was then first issued at $1,601.54 incl GST, which repeated the error. Brad acknowledged the mistake the same day ('Good pickup, that needs sorting. My mistake.') and re-issued INV-Q040 at the corrected $1,303.12 incl GST. A third, cosmetically-tidied copy of the same corrected invoice was sent an hour later. | No formal credit note was issued - the invoice was simply replaced. If the accounting system holds the $1,601.54 version, it needs correcting.</t>
  </si>
  <si>
    <t xml:space="preserve">Check which version of the invoice is in the ledger and correct if needed.</t>
  </si>
  <si>
    <t xml:space="preserve">2026-05-27</t>
  </si>
  <si>
    <t xml:space="preserve">Administration Building, Cromwell Racecourse Reserve</t>
  </si>
  <si>
    <t xml:space="preserve">Invoice Reissued Bank Details</t>
  </si>
  <si>
    <t xml:space="preserve">Deposit invoice re-issued with corrected bank account details after the Club's Treasurer's payment of $1,794 was rejected ('the system said the account number is invalid'). The original showed an out-of-date ANZ account from an old template; the revised version shows BNZ 02-0312-0183213-000, Lakeside Painting Limited. No change to the amount. | There may be an equivalent problem on any other invoice issued from the same old template before 27 May 2026 - worth checking with Brad.</t>
  </si>
  <si>
    <t xml:space="preserve">2026-05-19</t>
  </si>
  <si>
    <t xml:space="preserve">Deposit invoice for $5,057.70 incl GST (30% deposit) was issued 26 April 2026. The customer never paid it, and on 19 May 2026 (NZ) cancelled the job entirely: 'We just had someone come and buy the house ... They bought the property as is so unfortunately we don't need the house painted.' Brad accepted the cancellation with no charge. The invoice should be voided/cancelled if it is still open in the ledger. | Invoice DATE (26 Apr 2026) is outside the May-July window so it is not listed as an invoice above, but the cancellation event falls inside the period and is material ($5,057.70). This is a cancellation, not a bad debt - nothing was ever paid and no work was done. Note the invoice reference INV-Q034-deposit is confusingly similar to the Central Lakes Equestrian Club's INV-034-DEP for a completely different customer.</t>
  </si>
  <si>
    <t xml:space="preserve">32 Malvern Rd - cedar staining</t>
  </si>
  <si>
    <t xml:space="preserve">Job Repriced Before Invoicing</t>
  </si>
  <si>
    <t xml:space="preserve">Job re-priced downward from the original $3,450.00 incl GST quote to $2,528.85 incl GST after changing method to a single-coat Dryden WoodOil maintenance coat. This is a quote revision, not a credit note - the final invoice was raised at the reduced figure. | Recorded for context only; no adjustment entry should be needed.</t>
  </si>
  <si>
    <t xml:space="preserve">Pizza Hut Wanaka - plastering and painting of wall and bulkhead</t>
  </si>
  <si>
    <t xml:space="preserve">Possible Outstanding Receivable Outside Period</t>
  </si>
  <si>
    <t xml:space="preserve">Invoice for $2,559.00 + GST = $2,942.85 incl GST emailed 26 April 2026 (NZ). No payment confirmation, remittance or follow-up about payment appears anywhere in the mailbox, including a later June exchange with the same customer (which was only about a Google review). | OUT OF SCOPE for the May-July invoice list (invoice dated April), but flagged because it is the only sizeable customer invoice in the mailbox with no trace of payment. Worth checking against the bank account for an aged receivable.</t>
  </si>
  <si>
    <t xml:space="preserve">Multiple</t>
  </si>
  <si>
    <t xml:space="preserve">Document Numbering Risk</t>
  </si>
  <si>
    <t xml:space="preserve">Quote number QUO-034 was used for TWO different customers - Troy Nicholson (4 Perrow Street, quoted 26 April 2026 at $3,450 + GST) and Central Lakes Equestrian Club (Administration Building, quoted 15 April 2026 at $5,200 + GST). The resulting invoice references are near-identical: INV-Q034-deposit (Nicholson) vs INV-034-DEP / INV-034-FIN (CLEC). Quote number QUO-037 was also reused (Emily Sancha, 3 Riverhaven Lane; and Jac Macdonald/Amrein, 31 Hewson Crescent). | High risk of mis-posting between these two customers. Also note invoice numbering across the period is inconsistent (INV-Q032-final, INV-CC-001, INV-028-Final, INV-034-DEP, INV-B43C21, INV-8836EB, INV-J20-F, INV-Q040) and two invoices carry no visible number at all.</t>
  </si>
  <si>
    <t xml:space="preserve">Cancelled After Invoicing</t>
  </si>
  <si>
    <t xml:space="preserve">Deposit invoice issued 26 Apr 2026; job cancelled 19 May 2026 (NZ) because the house sold before work started. No credit note or refund seen. Payment of the deposit itself was never confirmed in email.</t>
  </si>
  <si>
    <t xml:space="preserve">Void or credit this invoice — it is not income.</t>
  </si>
  <si>
    <t xml:space="preserve">3 Parkview Street</t>
  </si>
  <si>
    <t xml:space="preserve">No Payment Evidence</t>
  </si>
  <si>
    <t xml:space="preserve">INV-Q034-deposit — $5,057.70 incl GST. cancelled - never paid, job cancelled 19 May 2026 after the house sold. Not a bad debt; the invoice should be voided.</t>
  </si>
  <si>
    <t xml:space="preserve">Check the bank statement; write off or chase.</t>
  </si>
  <si>
    <t xml:space="preserve">UCL Commercial Ltd (Steven Jin)</t>
  </si>
  <si>
    <t xml:space="preserve">Pizza Hut Wanaka</t>
  </si>
  <si>
    <t xml:space="preserve">INV-PHW — $2,942.85 incl GST. no payment evidence in the mailbox (invoice dated 26 April 2026, outside the reporting period). Possible aged receivable - check the bank.</t>
  </si>
  <si>
    <t xml:space="preserve">Administration Building, Cromwell</t>
  </si>
  <si>
    <t xml:space="preserve">INV-034-DEP and INV-034-FIN — $5,980.00 incl GST. no payment confirmation for either invoice in the mailbox. The deposit payment attempt on 26 May 2026 FAILED because of wrong bank details on the invoice; the corrected invoice was sent 27 May but no confirmation of successful payment follows. The final invoice was passed to the Club Treasurer on 8 June with no payment confirmation. Verify against the bank.</t>
  </si>
  <si>
    <t xml:space="preserve">Liam / LC Decorating</t>
  </si>
  <si>
    <t xml:space="preserve">Empty email body, PDF only. No amount, no reply, no payment reference at all. Highest-risk gap.</t>
  </si>
  <si>
    <t xml:space="preserve">Check the bank statement; chase if unpaid.</t>
  </si>
  <si>
    <t xml:space="preserve">56 Dale Street final invoice - no reply in thread.</t>
  </si>
  <si>
    <t xml:space="preserve">Wes and Ailsa</t>
  </si>
  <si>
    <t xml:space="preserve">Bathroom wallpapering invoice - no reply in thread.</t>
  </si>
  <si>
    <t xml:space="preserve">INV-J7-FINAL for the completed exterior work - single-message thread, no reply, no payment reference anywhere. Only the 20% deposit is confirmed paid.</t>
  </si>
  <si>
    <t xml:space="preserve">Leigh Cashen / Riverstone</t>
  </si>
  <si>
    <t xml:space="preserve">9 Hikuwai Drive wallpaper - no reply in thread.</t>
  </si>
  <si>
    <t xml:space="preserve">UCL Commercial Ltd (Pizza Hut Wanaka)</t>
  </si>
  <si>
    <t xml:space="preserve">$2,942.85 incl GST. Later June 2026 contact was about a Google review only, with no mention of payment.</t>
  </si>
  <si>
    <t xml:space="preserve">2026-03-24 / 2026-04-05 / 2026-04-22</t>
  </si>
  <si>
    <t xml:space="preserve">INV-J12, INV-027 and INV-J12-F. Toni Fox confirmed she would 'process' the 3 Merivale deposit and pays out on the 1st and 15th of the month, but no payment confirmations appear. Separately, on 25 May 2026 Home &amp; Co advised the owner's account was short for the (out-of-period) 10 McLeod final invoice and asked to defer payment to the 15th - Brad agreed, so watch that account for slow payment.</t>
  </si>
  <si>
    <t xml:space="preserve">Cam / Latch Build Ltd</t>
  </si>
  <si>
    <t xml:space="preserve">Acknowledged and entered into their system on 15 Mar 2026 and pulled forward to March, but no payment confirmation.</t>
  </si>
  <si>
    <t xml:space="preserve">50 Dale Street 40% progress invoice - customer said payment would go through 'shortly' but no receipt confirmation was found for this specific invoice (the final invoice was confirmed received).</t>
  </si>
  <si>
    <t xml:space="preserve">Supplier Refund / Credit Note</t>
  </si>
  <si>
    <t xml:space="preserve">RETURN: 1 x Easy Access 3-step double-sided ladder 0.9m (OXDS03) | CREDIT NOTE. Lightspeed receipt #3909 shows qty -1, subtotal -$150.00, GST -$22.50, TOTAL -$172.50. Returns the 3-step ladder bought on #3013 (23 Jan 2026). The Xero email is worded 'Here's invoice WANAKA - 3909 for NZD 172.50' but its attachment is named 'Credit Note WANAKA - 3909.pdf', and the 28 Feb 2026 statement arithmetic confirms it is a credit: 54.60 + 47.50 + 308.57 - 172.50 = 238.17. Recorded here as -172.50.</t>
  </si>
  <si>
    <t xml:space="preserve">Offset against the original purchase — do not book as a cost.</t>
  </si>
  <si>
    <t xml:space="preserve">refund</t>
  </si>
  <si>
    <t xml:space="preserve">REFUND: 50 x Norton No-Fil SG 125mm 60G sanding discs | CREDIT NOTE / REFUND. Lightspeed receipt #5175 shows qty -50, subtotal -$89.10, GST -$13.37, TOTAL -$102.47, Note: 'refund'. Reverses #5173 issued 47 minutes earlier the same day.</t>
  </si>
  <si>
    <t xml:space="preserve">2026-03-13 / 2026-04-02</t>
  </si>
  <si>
    <t xml:space="preserve">PO 113 R3</t>
  </si>
  <si>
    <t xml:space="preserve">Duplicate Billing — Unresolved</t>
  </si>
  <si>
    <t xml:space="preserve">Two identical $1,453.57 invoices (0908015736 and 0908369599) for the same PO. The first was deliberately excluded from the 19 Apr payment; the second appears on no statement at all. No credit note was ever emailed.</t>
  </si>
  <si>
    <t xml:space="preserve">CRITICAL: confirm with Dulux before booking either. Up to $2,907.14 of the Dulux total may not be a real cost.</t>
  </si>
  <si>
    <t xml:space="preserve">Net effect of quantified items</t>
  </si>
  <si>
    <t xml:space="preserve">Gaps, Missing Records &amp; Follow-ups</t>
  </si>
  <si>
    <t xml:space="preserve">What is NOT in the email trail, what was paid personally or in cash, and what needs chasing. 19 Jan – 31 Jul 2026.</t>
  </si>
  <si>
    <t xml:space="preserve">Priority</t>
  </si>
  <si>
    <t xml:space="preserve">Area</t>
  </si>
  <si>
    <t xml:space="preserve">What is missing or wrong</t>
  </si>
  <si>
    <t xml:space="preserve">Why it matters</t>
  </si>
  <si>
    <t xml:space="preserve">Where to get it</t>
  </si>
  <si>
    <t xml:space="preserve">Status in mailbox</t>
  </si>
  <si>
    <t xml:space="preserve">HIGH</t>
  </si>
  <si>
    <t xml:space="preserve">Fuel</t>
  </si>
  <si>
    <t xml:space="preserve">No fuel receipts of any kind — no Z, BP, Mobil, Caltex, Gull, Allied, no fuel card statement, no road user charges (RUC).</t>
  </si>
  <si>
    <t xml:space="preserve">A painting business running a van across Wanaka, Cromwell and Queenstown for 6 months must have fuel cost. Its complete absence means expenses and GST claimed are understated.</t>
  </si>
  <si>
    <t xml:space="preserve">Bank/credit-card statements; the fuel card provider; NZTA for RUC.</t>
  </si>
  <si>
    <t xml:space="preserve">Searched exhaustively — genuinely absent</t>
  </si>
  <si>
    <t xml:space="preserve">Phone &amp; internet</t>
  </si>
  <si>
    <t xml:space="preserve">No telco bill at all — no One NZ, Spark, 2degrees, Skinny, Vodafone, Starlink, no broadband.</t>
  </si>
  <si>
    <t xml:space="preserve">The mobile 0221060336 is on every quote and email signature, so the cost exists. Likely on a personal account and never claimed.</t>
  </si>
  <si>
    <t xml:space="preserve">Personal bank statement or the telco portal. Decide the business-use split.</t>
  </si>
  <si>
    <t xml:space="preserve">ACC levies</t>
  </si>
  <si>
    <t xml:space="preserve">No ACC invoice, CoverPlus / CoverPlus Extra notice or statement anywhere.</t>
  </si>
  <si>
    <t xml:space="preserve">ACC levies are a deductible business cost and a compliance obligation. ACC is not corresponding with this address at all.</t>
  </si>
  <si>
    <t xml:space="preserve">myACC account, or ACC directly.</t>
  </si>
  <si>
    <t xml:space="preserve">Genuinely absent</t>
  </si>
  <si>
    <t xml:space="preserve">IRD — GST registration backdating</t>
  </si>
  <si>
    <t xml:space="preserve">A 14 May 2026 IRD letter titled "Backdating your GST registration – requested information not provided" was never resolved in email. A "GST registration confirmed" letter followed on 26 May.</t>
  </si>
  <si>
    <t xml:space="preserve">The effective GST registration date decides whether input GST on earlier purchases is claimable at all. Until it is confirmed, every GST figure in this pack is provisional.</t>
  </si>
  <si>
    <t xml:space="preserve">Log into myIR and open the 14 May and 26 May letters. This is the single most important item here.</t>
  </si>
  <si>
    <t xml:space="preserve">9 IRD alert emails, all contentless</t>
  </si>
  <si>
    <t xml:space="preserve">Dulux — possible duplicate billing</t>
  </si>
  <si>
    <t xml:space="preserve">Two identical $1,453.57 invoices for the same PO "113 R3" (0908015736 on 13 Mar, 0908369599 on 2 Apr). The first was excluded from the April payment; the second appears on no statement. No credit note was ever emailed.</t>
  </si>
  <si>
    <t xml:space="preserve">Up to $2,907.14 of the Dulux total may not be a real cost. Booking both would overstate expenses and overclaim GST.</t>
  </si>
  <si>
    <t xml:space="preserve">Call Dulux and ask for the account history for 146009.</t>
  </si>
  <si>
    <t xml:space="preserve">Both invoices are in the Supplier Bills tab — flagged</t>
  </si>
  <si>
    <t xml:space="preserve">One customer invoice has no figure</t>
  </si>
  <si>
    <t xml:space="preserve">INV-028-Final (Toni Fox / Home &amp; Co, 10 McLeod Ave, 21 May 2026). The PDF is attached alongside large photos and could not be retrieved; no figure exists anywhere else.</t>
  </si>
  <si>
    <t xml:space="preserve">Income for the period is understated by this invoice. It is also the only remaining candidate for a second double-GST error.</t>
  </si>
  <si>
    <t xml:space="preserve">Open the email in Gmail and save the attachment, or check the bank for the receipt.</t>
  </si>
  <si>
    <t xml:space="preserve">Invoice listed with a blank amount</t>
  </si>
  <si>
    <t xml:space="preserve">Insurance paid on a personal card, wrong entity</t>
  </si>
  <si>
    <t xml:space="preserve">AA policy ASP036773136 (Jan–Mar) was in the name of RANK HIGHER LIMITED, not Lakeside, and was direct-debited from Bradley Hamilton's PERSONAL Visa ending 7490. It lapsed for non-payment; policy ASP036836160 replaced it from 13 May in Lakeside's name.</t>
  </si>
  <si>
    <t xml:space="preserve">Premiums paid personally for another entity are questionable as a Lakeside deduction. There is also an apparent gap in cover from about 21 Mar to 13 May 2026.</t>
  </si>
  <si>
    <t xml:space="preserve">Confirm cancellation with AA (0800 500 213) and decide the correct treatment of the $832.62.</t>
  </si>
  <si>
    <t xml:space="preserve">Both policies are in the Supplier Bills tab</t>
  </si>
  <si>
    <t xml:space="preserve">MEDIUM</t>
  </si>
  <si>
    <t xml:space="preserve">Vehicle costs</t>
  </si>
  <si>
    <t xml:space="preserve">No vehicle invoice at all — no rego, WOF, tyres, servicing or AA membership. Note the van KAJ960 was transferred to Bradley Hamilton PERSONALLY on 25 Feb 2026, yet the company insured it from 13 May.</t>
  </si>
  <si>
    <t xml:space="preserve">Ownership sitting with the individual while the company pays the costs affects how those costs are claimed.</t>
  </si>
  <si>
    <t xml:space="preserve">Card statements; GWD Toyota and Wanaka Auto Repairs for invoices; NZTA for rego.</t>
  </si>
  <si>
    <t xml:space="preserve">Only a service reminder and one estimate</t>
  </si>
  <si>
    <t xml:space="preserve">Bank &amp; merchant fees</t>
  </si>
  <si>
    <t xml:space="preserve">No bank statements, bank fees or merchant service fees reach this mailbox.</t>
  </si>
  <si>
    <t xml:space="preserve">Bank fees are deductible; more importantly the bank statement is the only way to confirm the many payments marked "unknown" in this pack.</t>
  </si>
  <si>
    <t xml:space="preserve">Download the ANZ/BNZ statements for the period.</t>
  </si>
  <si>
    <t xml:space="preserve">Subcontract labour</t>
  </si>
  <si>
    <t xml:space="preserve">Only Taskhound Limited invoiced Lakeside ($391.00 and $987.73) and neither is a painter. Yet Brad was advertising for staff and trialling workers through the period.</t>
  </si>
  <si>
    <t xml:space="preserve">If anyone was paid in cash or by private arrangement there may be unrecorded labour cost and PAYE/contractor-withholding obligations.</t>
  </si>
  <si>
    <t xml:space="preserve">Ask Brad directly what labour was paid and how.</t>
  </si>
  <si>
    <t xml:space="preserve">No individual painter invoices exist</t>
  </si>
  <si>
    <t xml:space="preserve">Google Workspace is the only software supplier billing this mailbox ($73.00 total). No Xero, hosting, domain renewal, Adobe, Canva or AI subscriptions.</t>
  </si>
  <si>
    <t xml:space="preserve">Two live websites exist (lakesidepainting.co.nz and painterswanaka.co.nz) so hosting and domain costs must be paid somewhere — likely a personal card.</t>
  </si>
  <si>
    <t xml:space="preserve">Card statements; ask Rank Higher what it charges for the SEO/hosting arrangement.</t>
  </si>
  <si>
    <t xml:space="preserve">Only 4 Google Workspace invoices</t>
  </si>
  <si>
    <t xml:space="preserve">Bookkeeping forwards that failed</t>
  </si>
  <si>
    <t xml:space="preserve">Brad forwards supplier invoices to a CloudMailin bookkeeping inbox. Three Resene forwards bounced on 5 Jul 2026 with "Message too large", and one Dulux invoice was forwarded four times.</t>
  </si>
  <si>
    <t xml:space="preserve">The downstream accounting system is likely missing those three Resene bills and holding duplicates of others.</t>
  </si>
  <si>
    <t xml:space="preserve">Re-send the three bounced Resene invoices; de-duplicate the accounting system.</t>
  </si>
  <si>
    <t xml:space="preserve">Bounce notices are in the mailbox</t>
  </si>
  <si>
    <t xml:space="preserve">Professional fees</t>
  </si>
  <si>
    <t xml:space="preserve">No accountant, bookkeeper or legal invoice found.</t>
  </si>
  <si>
    <t xml:space="preserve">If fees were paid they are unclaimed.</t>
  </si>
  <si>
    <t xml:space="preserve">Ask Brad / the practice for copies.</t>
  </si>
  <si>
    <t xml:space="preserve">LOW</t>
  </si>
  <si>
    <t xml:space="preserve">Equipment &amp; consumables likely understated</t>
  </si>
  <si>
    <t xml:space="preserve">Only a Festool sander and sanding discs appear outside the paint merchants.</t>
  </si>
  <si>
    <t xml:space="preserve">A working crew buys brushes, rollers, drop sheets, masking and PPE constantly. Much may have been bought over the counter and paid personally.</t>
  </si>
  <si>
    <t xml:space="preserve">Card statements; Bunnings/Mitre 10/PlaceMakers account history.</t>
  </si>
  <si>
    <t xml:space="preserve">Partial coverage only</t>
  </si>
  <si>
    <t xml:space="preserve">Invoice numbering</t>
  </si>
  <si>
    <t xml:space="preserve">8 of 10 customer invoices read carry NO invoice number, and numbering schemes are mixed (INV-027, INV-CC-001, INV-J20-F, INV-Q034-deposit). QUO-034 and QUO-037 were each reused for two different customers.</t>
  </si>
  <si>
    <t xml:space="preserve">Duplicate and missing references make the sales ledger hard to audit and risk double-booking.</t>
  </si>
  <si>
    <t xml:space="preserve">Fix going forward in TradePilot.</t>
  </si>
  <si>
    <t xml:space="preserve">Observed across the period</t>
  </si>
  <si>
    <t xml:space="preserve">GST number missing from invoices</t>
  </si>
  <si>
    <t xml:space="preserve">Lakeside's GST number (136-377-892) appears on only the two most recent customer invoices.</t>
  </si>
  <si>
    <t xml:space="preserve">A GST-registered supplier must show its GST number on a tax invoice. Customers may be unable to claim.</t>
  </si>
  <si>
    <t xml:space="preserve">Fix the invoice template.</t>
  </si>
  <si>
    <t xml:space="preserve">Observed on 8 of 10 invoices read</t>
  </si>
  <si>
    <t xml:space="preserve">TradePilot export is partial</t>
  </si>
  <si>
    <t xml:space="preserve">The TradePilot snapshot on the Desktop covers 18 Jan – 9 Apr 2026 only and is labelled "Sandbox". Everything from 10 Apr onward in this pack comes from email alone.</t>
  </si>
  <si>
    <t xml:space="preserve">Cross-checking is only possible for the first third of the period.</t>
  </si>
  <si>
    <t xml:space="preserve">Re-export TradePilot for the full period.</t>
  </si>
  <si>
    <t xml:space="preserve">Snapshot dated 29 Apr 2026</t>
  </si>
  <si>
    <t xml:space="preserve">Supplier Statements on File</t>
  </si>
  <si>
    <t xml:space="preserve">Use these to reconcile the Supplier Bills tab. Statements are the supplier’s own record of what was owed.</t>
  </si>
  <si>
    <t xml:space="preserve">Statement month / date</t>
  </si>
  <si>
    <t xml:space="preserve">Account ref</t>
  </si>
  <si>
    <t xml:space="preserve">Closing balance</t>
  </si>
  <si>
    <t xml:space="preserve">Overdue</t>
  </si>
  <si>
    <t xml:space="preserve">2026-01</t>
  </si>
  <si>
    <t xml:space="preserve">Dulux account 146009</t>
  </si>
  <si>
    <t xml:space="preserve">Jan 2026: 1 transaction (0907154714 $216.85). Overdue 0.00, Current 216.85, Not Yet Due 0.00. No payments allocated in January.</t>
  </si>
  <si>
    <t xml:space="preserve">2026-02</t>
  </si>
  <si>
    <t xml:space="preserve">Feb 2026: 8 invoices totalling $1,076.85. Payment allocated 14/02/2026 EFT 146009 $216.85 (cleared the January balance).</t>
  </si>
  <si>
    <t xml:space="preserve">2026-03</t>
  </si>
  <si>
    <t xml:space="preserve">Mar 2026: 5 invoices totalling $1,655.88 (incl. 0908015736 $1,453.57). Payment allocated 18/03/2026 EFT 146009 $1,076.85 (cleared the February balance).</t>
  </si>
  <si>
    <t xml:space="preserve">2026-04</t>
  </si>
  <si>
    <t xml:space="preserve">Apr 2026: 3 invoices totalling $365.26. Payment allocated 19/04/2026 EFT 146009 $202.31 (= March total less invoice 0908015736). Invoice 0908369599 dated 02/04/2026 ($1,453.57) does NOT appear on this statement.</t>
  </si>
  <si>
    <t xml:space="preserve">2026-05</t>
  </si>
  <si>
    <t xml:space="preserve">May 2026: 11 invoices totalling $1,449.01. Payment allocated 18/05/2026 EFT 146009 $365.26 (cleared the April balance).</t>
  </si>
  <si>
    <t xml:space="preserve">2026-06</t>
  </si>
  <si>
    <t xml:space="preserve">Jun 2026: 2 invoices totalling $498.52. Payment allocated 20/06/2026 EFT 146009 $1,449.01 (cleared the May balance).</t>
  </si>
  <si>
    <t xml:space="preserve">2026-07</t>
  </si>
  <si>
    <t xml:space="preserve">Jul 2026: 2 invoices totalling $172.35, still outstanding. Payment allocated 20/07/2026 EFT 146009 $498.52 (cleared the June balance).</t>
  </si>
  <si>
    <t xml:space="preserve">2026-01-31</t>
  </si>
  <si>
    <t xml:space="preserve">'Outstanding statement as at 31 January 2026 - $1201.86 Due'. PDF 'Statement for Lakeside Painting As At 31Jan2026.pdf' attached (not opened). Equals invoices 2905 + 3013 + 3023 + 3118 + 3119. Settled 14 Feb 2026.</t>
  </si>
  <si>
    <t xml:space="preserve">2026-02-28</t>
  </si>
  <si>
    <t xml:space="preserve">'Outstanding statement as at 28 February 2026 - $238.17 Due'. Equals 3333 + 3397 + 3910 less credit note 3909 (54.60 + 47.50 + 308.57 - 172.50). Cleared during March 2026 - no payment receipt on file.</t>
  </si>
  <si>
    <t xml:space="preserve">'Outstanding statement as at 31 March 2026 - $219.34 Balance due'. Equals 4224 + 4262. Note receipts 5173/5175 (30 Mar) do not appear - they cancelled out. Settled 19 Apr 2026.</t>
  </si>
  <si>
    <t xml:space="preserve">'Outstanding statement as at 30 April 2026 - $475.51 Balance due'. Equals invoice 5653. Settled 18 May 2026.</t>
  </si>
  <si>
    <t xml:space="preserve">'Outstanding statement as at 31 May 2026 - $588.00 Balance due'. Equals invoice WAN6330. Settled 1 Jul 2026.</t>
  </si>
  <si>
    <t xml:space="preserve">'Outstanding statement as at 30 June 2026 - $935.90 Balance due, $588.00 Overdue'. Balance = WAN6330 588.00 (overdue, due 20 Jun) + WAN8213 294.45 + WAN7942 53.45. All three settled by 20 Jul 2026.</t>
  </si>
</sst>
</file>

<file path=xl/styles.xml><?xml version="1.0" encoding="utf-8"?>
<styleSheet xmlns="http://schemas.openxmlformats.org/spreadsheetml/2006/main">
  <numFmts count="3">
    <numFmt numFmtId="164" formatCode="General"/>
    <numFmt numFmtId="165" formatCode="\$#,##0.00"/>
    <numFmt numFmtId="166" formatCode="\$#,##0.00;&quot;($&quot;#,##0.00\);\-"/>
  </numFmts>
  <fonts count="17">
    <font>
      <sz val="11"/>
      <color theme="1"/>
      <name val="Calibri"/>
      <family val="2"/>
      <charset val="1"/>
    </font>
    <font>
      <sz val="10"/>
      <name val="Arial"/>
      <family val="0"/>
    </font>
    <font>
      <sz val="10"/>
      <name val="Arial"/>
      <family val="0"/>
    </font>
    <font>
      <sz val="10"/>
      <name val="Arial"/>
      <family val="0"/>
    </font>
    <font>
      <b val="true"/>
      <sz val="15"/>
      <color rgb="FF1F3864"/>
      <name val="Arial"/>
      <family val="0"/>
      <charset val="1"/>
    </font>
    <font>
      <i val="true"/>
      <sz val="9"/>
      <color rgb="FF595959"/>
      <name val="Arial"/>
      <family val="0"/>
      <charset val="1"/>
    </font>
    <font>
      <b val="true"/>
      <sz val="11"/>
      <color rgb="FFFFFFFF"/>
      <name val="Arial"/>
      <family val="0"/>
      <charset val="1"/>
    </font>
    <font>
      <b val="true"/>
      <sz val="10"/>
      <name val="Arial"/>
      <family val="0"/>
      <charset val="1"/>
    </font>
    <font>
      <sz val="10"/>
      <name val="Arial"/>
      <family val="0"/>
      <charset val="1"/>
    </font>
    <font>
      <i val="true"/>
      <sz val="9"/>
      <color rgb="FFC00000"/>
      <name val="Arial"/>
      <family val="0"/>
      <charset val="1"/>
    </font>
    <font>
      <b val="true"/>
      <sz val="9"/>
      <name val="Arial"/>
      <family val="0"/>
      <charset val="1"/>
    </font>
    <font>
      <sz val="9"/>
      <name val="Arial"/>
      <family val="0"/>
      <charset val="1"/>
    </font>
    <font>
      <b val="true"/>
      <sz val="9"/>
      <color rgb="FFC00000"/>
      <name val="Arial"/>
      <family val="0"/>
      <charset val="1"/>
    </font>
    <font>
      <i val="true"/>
      <sz val="8"/>
      <color rgb="FF595959"/>
      <name val="Arial"/>
      <family val="0"/>
      <charset val="1"/>
    </font>
    <font>
      <b val="true"/>
      <sz val="10"/>
      <color rgb="FFFFFFFF"/>
      <name val="Arial"/>
      <family val="0"/>
      <charset val="1"/>
    </font>
    <font>
      <i val="true"/>
      <sz val="9"/>
      <name val="Arial"/>
      <family val="0"/>
      <charset val="1"/>
    </font>
    <font>
      <b val="true"/>
      <sz val="10"/>
      <color rgb="FF1F3864"/>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D9E2F3"/>
        <bgColor rgb="FFE2EFDA"/>
      </patternFill>
    </fill>
    <fill>
      <patternFill patternType="solid">
        <fgColor rgb="FFFFF2CC"/>
        <bgColor rgb="FFFCE4E4"/>
      </patternFill>
    </fill>
    <fill>
      <patternFill patternType="solid">
        <fgColor rgb="FFE2EFDA"/>
        <bgColor rgb="FFD9E2F3"/>
      </patternFill>
    </fill>
    <fill>
      <patternFill patternType="solid">
        <fgColor rgb="FFFCE4E4"/>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general" vertical="bottom" textRotation="0" wrapText="false" indent="0" shrinkToFit="false"/>
      <protection locked="true" hidden="false"/>
    </xf>
    <xf numFmtId="164" fontId="0" fillId="3" borderId="1" xfId="0" applyFont="fals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4" fillId="2" borderId="1" xfId="0" applyFont="true" applyBorder="true" applyAlignment="true" applyProtection="false">
      <alignment horizontal="general" vertical="center" textRotation="0" wrapText="true" indent="0" shrinkToFit="false"/>
      <protection locked="true" hidden="false"/>
    </xf>
    <xf numFmtId="164" fontId="11" fillId="0" borderId="1" xfId="0" applyFont="true" applyBorder="true" applyAlignment="true" applyProtection="false">
      <alignment horizontal="general" vertical="top" textRotation="0" wrapText="false" indent="0" shrinkToFit="false"/>
      <protection locked="true" hidden="false"/>
    </xf>
    <xf numFmtId="166" fontId="11" fillId="0" borderId="1" xfId="0" applyFont="true" applyBorder="true" applyAlignment="true" applyProtection="false">
      <alignment horizontal="general" vertical="top" textRotation="0" wrapText="false" indent="0" shrinkToFit="false"/>
      <protection locked="true" hidden="false"/>
    </xf>
    <xf numFmtId="164" fontId="11" fillId="4" borderId="1" xfId="0" applyFont="true" applyBorder="true" applyAlignment="true" applyProtection="false">
      <alignment horizontal="general" vertical="top" textRotation="0" wrapText="false" indent="0" shrinkToFit="false"/>
      <protection locked="true" hidden="false"/>
    </xf>
    <xf numFmtId="164" fontId="11" fillId="5" borderId="1" xfId="0" applyFont="true" applyBorder="true" applyAlignment="true" applyProtection="false">
      <alignment horizontal="general" vertical="top" textRotation="0" wrapText="false" indent="0" shrinkToFit="false"/>
      <protection locked="true" hidden="false"/>
    </xf>
    <xf numFmtId="166" fontId="11" fillId="6" borderId="1" xfId="0" applyFont="true" applyBorder="true" applyAlignment="true" applyProtection="false">
      <alignment horizontal="general" vertical="top" textRotation="0" wrapText="false" indent="0" shrinkToFit="false"/>
      <protection locked="true" hidden="false"/>
    </xf>
    <xf numFmtId="166" fontId="7"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6" fontId="15" fillId="0" borderId="0" xfId="0" applyFont="true" applyBorder="false" applyAlignment="tru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general" vertical="top" textRotation="0" wrapText="false" indent="0" shrinkToFit="false"/>
      <protection locked="true" hidden="false"/>
    </xf>
    <xf numFmtId="164" fontId="11" fillId="6" borderId="1" xfId="0" applyFont="true" applyBorder="true" applyAlignment="true" applyProtection="false">
      <alignment horizontal="general" vertical="top"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6" fontId="11"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general" vertical="bottom" textRotation="0" wrapText="false" indent="0" shrinkToFit="false"/>
      <protection locked="true" hidden="false"/>
    </xf>
    <xf numFmtId="166" fontId="12" fillId="0" borderId="1" xfId="0" applyFont="true" applyBorder="true" applyAlignment="true" applyProtection="false">
      <alignment horizontal="general" vertical="top" textRotation="0" wrapText="false" indent="0" shrinkToFit="false"/>
      <protection locked="true" hidden="false"/>
    </xf>
    <xf numFmtId="164" fontId="11" fillId="6" borderId="1" xfId="0" applyFont="true" applyBorder="true" applyAlignment="true" applyProtection="false">
      <alignment horizontal="general" vertical="top" textRotation="0" wrapText="true" indent="0" shrinkToFit="false"/>
      <protection locked="true" hidden="false"/>
    </xf>
    <xf numFmtId="166" fontId="12" fillId="6" borderId="1" xfId="0" applyFont="true" applyBorder="true" applyAlignment="true" applyProtection="false">
      <alignment horizontal="general" vertical="top" textRotation="0" wrapText="false" indent="0" shrinkToFit="false"/>
      <protection locked="true" hidden="false"/>
    </xf>
    <xf numFmtId="164" fontId="10" fillId="6" borderId="1" xfId="0" applyFont="true" applyBorder="true" applyAlignment="true" applyProtection="false">
      <alignment horizontal="center" vertical="center" textRotation="0" wrapText="false" indent="0" shrinkToFit="false"/>
      <protection locked="true" hidden="false"/>
    </xf>
    <xf numFmtId="164" fontId="10" fillId="4" borderId="1" xfId="0" applyFont="true" applyBorder="true" applyAlignment="true" applyProtection="false">
      <alignment horizontal="center" vertical="center" textRotation="0" wrapText="false" indent="0" shrinkToFit="false"/>
      <protection locked="true" hidden="false"/>
    </xf>
    <xf numFmtId="164" fontId="10" fillId="3"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CE4E4"/>
          <bgColor rgb="FF000000"/>
        </patternFill>
      </fill>
    </dxf>
    <dxf>
      <fill>
        <patternFill patternType="solid">
          <fgColor rgb="FFFFF2CC"/>
          <bgColor rgb="FF000000"/>
        </patternFill>
      </fill>
    </dxf>
    <dxf>
      <fill>
        <patternFill patternType="solid">
          <fgColor rgb="FFE2EFDA"/>
          <bgColor rgb="FF000000"/>
        </patternFill>
      </fill>
    </dxf>
    <dxf>
      <fill>
        <patternFill patternType="solid">
          <fgColor rgb="FFD9E2F3"/>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3" min="2" style="1" width="16"/>
    <col collapsed="false" customWidth="true" hidden="false" outlineLevel="0" max="4" min="4" style="1" width="66"/>
    <col collapsed="false" customWidth="true" hidden="false" outlineLevel="0" max="6" min="5" style="1" width="14"/>
  </cols>
  <sheetData>
    <row r="1" customFormat="false" ht="18" hidden="false" customHeight="true" outlineLevel="0" collapsed="false">
      <c r="A1" s="2" t="s">
        <v>0</v>
      </c>
      <c r="B1" s="2"/>
      <c r="C1" s="2"/>
      <c r="D1" s="2"/>
      <c r="E1" s="2"/>
      <c r="F1" s="2"/>
    </row>
    <row r="2" customFormat="false" ht="15" hidden="false" customHeight="true" outlineLevel="0" collapsed="false">
      <c r="A2" s="3" t="s">
        <v>1</v>
      </c>
      <c r="B2" s="3"/>
      <c r="C2" s="3"/>
      <c r="D2" s="3"/>
      <c r="E2" s="3"/>
      <c r="F2" s="3"/>
    </row>
    <row r="4" customFormat="false" ht="19.5" hidden="false" customHeight="true" outlineLevel="0" collapsed="false">
      <c r="A4" s="4" t="s">
        <v>2</v>
      </c>
      <c r="B4" s="5"/>
      <c r="C4" s="5"/>
      <c r="D4" s="5"/>
      <c r="E4" s="5"/>
      <c r="F4" s="5"/>
    </row>
    <row r="5" customFormat="false" ht="15" hidden="false" customHeight="true" outlineLevel="0" collapsed="false">
      <c r="A5" s="6" t="s">
        <v>3</v>
      </c>
    </row>
    <row r="6" customFormat="false" ht="15" hidden="false" customHeight="true" outlineLevel="0" collapsed="false">
      <c r="A6" s="7" t="s">
        <v>4</v>
      </c>
      <c r="C6" s="8" t="n">
        <f aca="false">'Customer Invoices'!G44</f>
        <v>58913.37</v>
      </c>
    </row>
    <row r="7" customFormat="false" ht="15" hidden="false" customHeight="true" outlineLevel="0" collapsed="false">
      <c r="A7" s="7" t="s">
        <v>5</v>
      </c>
      <c r="C7" s="8" t="n">
        <f aca="false">'Customer Invoices'!H44</f>
        <v>8837.01</v>
      </c>
    </row>
    <row r="8" customFormat="false" ht="15" hidden="false" customHeight="true" outlineLevel="0" collapsed="false">
      <c r="A8" s="6" t="s">
        <v>6</v>
      </c>
      <c r="C8" s="9" t="n">
        <f aca="false">'Customer Invoices'!I44</f>
        <v>67750.38</v>
      </c>
    </row>
    <row r="9" customFormat="false" ht="15" hidden="false" customHeight="true" outlineLevel="0" collapsed="false">
      <c r="A9" s="7" t="s">
        <v>7</v>
      </c>
      <c r="C9" s="8" t="n">
        <f aca="false">'Customer Invoices'!I47</f>
        <v>26078.08</v>
      </c>
    </row>
    <row r="10" customFormat="false" ht="15" hidden="false" customHeight="true" outlineLevel="0" collapsed="false">
      <c r="A10" s="7" t="s">
        <v>8</v>
      </c>
      <c r="C10" s="8" t="n">
        <f aca="false">'Customer Invoices'!I48</f>
        <v>41672.3</v>
      </c>
    </row>
    <row r="12" customFormat="false" ht="15" hidden="false" customHeight="true" outlineLevel="0" collapsed="false">
      <c r="A12" s="6" t="s">
        <v>9</v>
      </c>
    </row>
    <row r="13" customFormat="false" ht="15" hidden="false" customHeight="true" outlineLevel="0" collapsed="false">
      <c r="A13" s="7" t="s">
        <v>4</v>
      </c>
      <c r="C13" s="8" t="n">
        <f aca="false">'Supplier Bills'!F82</f>
        <v>15524.27</v>
      </c>
    </row>
    <row r="14" customFormat="false" ht="15" hidden="false" customHeight="true" outlineLevel="0" collapsed="false">
      <c r="A14" s="7" t="s">
        <v>5</v>
      </c>
      <c r="C14" s="8" t="n">
        <f aca="false">'Supplier Bills'!G82</f>
        <v>2328.68</v>
      </c>
    </row>
    <row r="15" customFormat="false" ht="15" hidden="false" customHeight="true" outlineLevel="0" collapsed="false">
      <c r="A15" s="6" t="s">
        <v>6</v>
      </c>
      <c r="C15" s="9" t="n">
        <f aca="false">'Supplier Bills'!H82</f>
        <v>17852.96</v>
      </c>
    </row>
    <row r="17" customFormat="false" ht="15" hidden="false" customHeight="true" outlineLevel="0" collapsed="false">
      <c r="A17" s="6" t="s">
        <v>10</v>
      </c>
      <c r="C17" s="9" t="n">
        <f aca="false">C7-C14</f>
        <v>6508.33</v>
      </c>
    </row>
    <row r="18" customFormat="false" ht="15" hidden="false" customHeight="true" outlineLevel="0" collapsed="false">
      <c r="A18" s="6" t="s">
        <v>11</v>
      </c>
      <c r="C18" s="9" t="n">
        <f aca="false">C6-C13</f>
        <v>43389.1</v>
      </c>
    </row>
    <row r="19" customFormat="false" ht="15" hidden="false" customHeight="true" outlineLevel="0" collapsed="false">
      <c r="A19" s="10" t="s">
        <v>12</v>
      </c>
    </row>
    <row r="21" customFormat="false" ht="19.5" hidden="false" customHeight="true" outlineLevel="0" collapsed="false">
      <c r="A21" s="4" t="s">
        <v>13</v>
      </c>
      <c r="B21" s="5"/>
      <c r="C21" s="5"/>
      <c r="D21" s="5"/>
      <c r="E21" s="5"/>
      <c r="F21" s="5"/>
    </row>
    <row r="22" customFormat="false" ht="15" hidden="false" customHeight="true" outlineLevel="0" collapsed="false">
      <c r="A22" s="11" t="s">
        <v>14</v>
      </c>
      <c r="B22" s="12"/>
      <c r="C22" s="11" t="s">
        <v>15</v>
      </c>
      <c r="D22" s="11" t="s">
        <v>16</v>
      </c>
      <c r="E22" s="12"/>
      <c r="F22" s="12"/>
    </row>
    <row r="23" customFormat="false" ht="21.75" hidden="false" customHeight="true" outlineLevel="0" collapsed="false">
      <c r="A23" s="13" t="s">
        <v>17</v>
      </c>
      <c r="B23" s="14"/>
      <c r="C23" s="13" t="n">
        <v>37</v>
      </c>
      <c r="D23" s="15" t="s">
        <v>18</v>
      </c>
      <c r="E23" s="14"/>
      <c r="F23" s="14"/>
    </row>
    <row r="24" customFormat="false" ht="15" hidden="false" customHeight="true" outlineLevel="0" collapsed="false">
      <c r="A24" s="13" t="s">
        <v>19</v>
      </c>
      <c r="B24" s="14"/>
      <c r="C24" s="13" t="s">
        <v>20</v>
      </c>
      <c r="D24" s="15" t="s">
        <v>21</v>
      </c>
      <c r="E24" s="14"/>
      <c r="F24" s="14"/>
    </row>
    <row r="25" customFormat="false" ht="15" hidden="false" customHeight="true" outlineLevel="0" collapsed="false">
      <c r="A25" s="13" t="s">
        <v>22</v>
      </c>
      <c r="B25" s="14"/>
      <c r="C25" s="13" t="n">
        <v>75</v>
      </c>
      <c r="D25" s="15" t="s">
        <v>23</v>
      </c>
      <c r="E25" s="14"/>
      <c r="F25" s="14"/>
    </row>
    <row r="26" customFormat="false" ht="15" hidden="false" customHeight="true" outlineLevel="0" collapsed="false">
      <c r="A26" s="13" t="s">
        <v>24</v>
      </c>
      <c r="B26" s="14"/>
      <c r="C26" s="13" t="s">
        <v>25</v>
      </c>
      <c r="D26" s="15" t="s">
        <v>26</v>
      </c>
      <c r="E26" s="14"/>
      <c r="F26" s="14"/>
    </row>
    <row r="27" customFormat="false" ht="21.75" hidden="false" customHeight="true" outlineLevel="0" collapsed="false">
      <c r="A27" s="13" t="s">
        <v>27</v>
      </c>
      <c r="B27" s="14"/>
      <c r="C27" s="13" t="s">
        <v>28</v>
      </c>
      <c r="D27" s="15" t="s">
        <v>29</v>
      </c>
      <c r="E27" s="14"/>
      <c r="F27" s="14"/>
    </row>
    <row r="28" customFormat="false" ht="15" hidden="false" customHeight="true" outlineLevel="0" collapsed="false">
      <c r="A28" s="13" t="s">
        <v>30</v>
      </c>
      <c r="B28" s="14"/>
      <c r="C28" s="13" t="s">
        <v>31</v>
      </c>
      <c r="D28" s="15" t="s">
        <v>32</v>
      </c>
      <c r="E28" s="14"/>
      <c r="F28" s="14"/>
    </row>
    <row r="30" customFormat="false" ht="19.5" hidden="false" customHeight="true" outlineLevel="0" collapsed="false">
      <c r="A30" s="4" t="s">
        <v>33</v>
      </c>
      <c r="B30" s="5"/>
      <c r="C30" s="5"/>
      <c r="D30" s="5"/>
      <c r="E30" s="5"/>
      <c r="F30" s="5"/>
    </row>
    <row r="31" customFormat="false" ht="15" hidden="false" customHeight="true" outlineLevel="0" collapsed="false">
      <c r="A31" s="16" t="s">
        <v>34</v>
      </c>
      <c r="B31" s="16"/>
      <c r="C31" s="16"/>
      <c r="D31" s="16"/>
      <c r="E31" s="16"/>
      <c r="F31" s="16"/>
    </row>
    <row r="32" customFormat="false" ht="30" hidden="false" customHeight="true" outlineLevel="0" collapsed="false">
      <c r="A32" s="17" t="s">
        <v>35</v>
      </c>
      <c r="B32" s="17"/>
      <c r="C32" s="17"/>
      <c r="D32" s="17"/>
      <c r="E32" s="17"/>
      <c r="F32" s="17"/>
    </row>
    <row r="34" customFormat="false" ht="15" hidden="false" customHeight="true" outlineLevel="0" collapsed="false">
      <c r="A34" s="16" t="s">
        <v>36</v>
      </c>
      <c r="B34" s="16"/>
      <c r="C34" s="16"/>
      <c r="D34" s="16"/>
      <c r="E34" s="16"/>
      <c r="F34" s="16"/>
    </row>
    <row r="35" customFormat="false" ht="30" hidden="false" customHeight="true" outlineLevel="0" collapsed="false">
      <c r="A35" s="17" t="s">
        <v>37</v>
      </c>
      <c r="B35" s="17"/>
      <c r="C35" s="17"/>
      <c r="D35" s="17"/>
      <c r="E35" s="17"/>
      <c r="F35" s="17"/>
    </row>
    <row r="37" customFormat="false" ht="15" hidden="false" customHeight="true" outlineLevel="0" collapsed="false">
      <c r="A37" s="16" t="s">
        <v>38</v>
      </c>
      <c r="B37" s="16"/>
      <c r="C37" s="16"/>
      <c r="D37" s="16"/>
      <c r="E37" s="16"/>
      <c r="F37" s="16"/>
    </row>
    <row r="38" customFormat="false" ht="30" hidden="false" customHeight="true" outlineLevel="0" collapsed="false">
      <c r="A38" s="17" t="s">
        <v>39</v>
      </c>
      <c r="B38" s="17"/>
      <c r="C38" s="17"/>
      <c r="D38" s="17"/>
      <c r="E38" s="17"/>
      <c r="F38" s="17"/>
    </row>
    <row r="40" customFormat="false" ht="15" hidden="false" customHeight="true" outlineLevel="0" collapsed="false">
      <c r="A40" s="16" t="s">
        <v>40</v>
      </c>
      <c r="B40" s="16"/>
      <c r="C40" s="16"/>
      <c r="D40" s="16"/>
      <c r="E40" s="16"/>
      <c r="F40" s="16"/>
    </row>
    <row r="41" customFormat="false" ht="30" hidden="false" customHeight="true" outlineLevel="0" collapsed="false">
      <c r="A41" s="17" t="s">
        <v>41</v>
      </c>
      <c r="B41" s="17"/>
      <c r="C41" s="17"/>
      <c r="D41" s="17"/>
      <c r="E41" s="17"/>
      <c r="F41" s="17"/>
    </row>
    <row r="43" customFormat="false" ht="15" hidden="false" customHeight="true" outlineLevel="0" collapsed="false">
      <c r="A43" s="16" t="s">
        <v>42</v>
      </c>
      <c r="B43" s="16"/>
      <c r="C43" s="16"/>
      <c r="D43" s="16"/>
      <c r="E43" s="16"/>
      <c r="F43" s="16"/>
    </row>
    <row r="44" customFormat="false" ht="30" hidden="false" customHeight="true" outlineLevel="0" collapsed="false">
      <c r="A44" s="17" t="s">
        <v>43</v>
      </c>
      <c r="B44" s="17"/>
      <c r="C44" s="17"/>
      <c r="D44" s="17"/>
      <c r="E44" s="17"/>
      <c r="F44" s="17"/>
    </row>
    <row r="46" customFormat="false" ht="15" hidden="false" customHeight="true" outlineLevel="0" collapsed="false">
      <c r="A46" s="16" t="s">
        <v>44</v>
      </c>
      <c r="B46" s="16"/>
      <c r="C46" s="16"/>
      <c r="D46" s="16"/>
      <c r="E46" s="16"/>
      <c r="F46" s="16"/>
    </row>
    <row r="47" customFormat="false" ht="30" hidden="false" customHeight="true" outlineLevel="0" collapsed="false">
      <c r="A47" s="17" t="s">
        <v>45</v>
      </c>
      <c r="B47" s="17"/>
      <c r="C47" s="17"/>
      <c r="D47" s="17"/>
      <c r="E47" s="17"/>
      <c r="F47" s="17"/>
    </row>
    <row r="49" customFormat="false" ht="15" hidden="false" customHeight="true" outlineLevel="0" collapsed="false">
      <c r="A49" s="16" t="s">
        <v>46</v>
      </c>
      <c r="B49" s="16"/>
      <c r="C49" s="16"/>
      <c r="D49" s="16"/>
      <c r="E49" s="16"/>
      <c r="F49" s="16"/>
    </row>
    <row r="50" customFormat="false" ht="30" hidden="false" customHeight="true" outlineLevel="0" collapsed="false">
      <c r="A50" s="17" t="s">
        <v>47</v>
      </c>
      <c r="B50" s="17"/>
      <c r="C50" s="17"/>
      <c r="D50" s="17"/>
      <c r="E50" s="17"/>
      <c r="F50" s="17"/>
    </row>
    <row r="52" customFormat="false" ht="19.5" hidden="false" customHeight="true" outlineLevel="0" collapsed="false">
      <c r="A52" s="4" t="s">
        <v>48</v>
      </c>
      <c r="B52" s="5"/>
      <c r="C52" s="5"/>
      <c r="D52" s="5"/>
      <c r="E52" s="5"/>
      <c r="F52" s="5"/>
    </row>
    <row r="53" customFormat="false" ht="15" hidden="false" customHeight="true" outlineLevel="0" collapsed="false">
      <c r="A53" s="18" t="s">
        <v>49</v>
      </c>
      <c r="B53" s="17" t="s">
        <v>50</v>
      </c>
      <c r="C53" s="17"/>
      <c r="D53" s="17"/>
      <c r="E53" s="17"/>
      <c r="F53" s="17"/>
    </row>
    <row r="54" customFormat="false" ht="15" hidden="false" customHeight="true" outlineLevel="0" collapsed="false">
      <c r="A54" s="18" t="s">
        <v>51</v>
      </c>
      <c r="B54" s="17" t="s">
        <v>52</v>
      </c>
      <c r="C54" s="17"/>
      <c r="D54" s="17"/>
      <c r="E54" s="17"/>
      <c r="F54" s="17"/>
    </row>
    <row r="55" customFormat="false" ht="15" hidden="false" customHeight="true" outlineLevel="0" collapsed="false">
      <c r="A55" s="18" t="s">
        <v>53</v>
      </c>
      <c r="B55" s="17" t="s">
        <v>54</v>
      </c>
      <c r="C55" s="17"/>
      <c r="D55" s="17"/>
      <c r="E55" s="17"/>
      <c r="F55" s="17"/>
    </row>
    <row r="56" customFormat="false" ht="15" hidden="false" customHeight="true" outlineLevel="0" collapsed="false">
      <c r="A56" s="18" t="s">
        <v>55</v>
      </c>
      <c r="B56" s="17" t="s">
        <v>56</v>
      </c>
      <c r="C56" s="17"/>
      <c r="D56" s="17"/>
      <c r="E56" s="17"/>
      <c r="F56" s="17"/>
    </row>
    <row r="57" customFormat="false" ht="15" hidden="false" customHeight="true" outlineLevel="0" collapsed="false">
      <c r="A57" s="18" t="s">
        <v>57</v>
      </c>
      <c r="B57" s="17" t="s">
        <v>58</v>
      </c>
      <c r="C57" s="17"/>
      <c r="D57" s="17"/>
      <c r="E57" s="17"/>
      <c r="F57" s="17"/>
    </row>
    <row r="59" customFormat="false" ht="15" hidden="false" customHeight="true" outlineLevel="0" collapsed="false">
      <c r="A59" s="19" t="s">
        <v>59</v>
      </c>
      <c r="B59" s="19"/>
      <c r="C59" s="19"/>
      <c r="D59" s="19"/>
      <c r="E59" s="19"/>
      <c r="F59" s="19"/>
    </row>
  </sheetData>
  <mergeCells count="22">
    <mergeCell ref="A1:F1"/>
    <mergeCell ref="A2:F2"/>
    <mergeCell ref="A31:F31"/>
    <mergeCell ref="A32:F32"/>
    <mergeCell ref="A34:F34"/>
    <mergeCell ref="A35:F35"/>
    <mergeCell ref="A37:F37"/>
    <mergeCell ref="A38:F38"/>
    <mergeCell ref="A40:F40"/>
    <mergeCell ref="A41:F41"/>
    <mergeCell ref="A43:F43"/>
    <mergeCell ref="A44:F44"/>
    <mergeCell ref="A46:F46"/>
    <mergeCell ref="A47:F47"/>
    <mergeCell ref="A49:F49"/>
    <mergeCell ref="A50:F50"/>
    <mergeCell ref="B53:F53"/>
    <mergeCell ref="B54:F54"/>
    <mergeCell ref="B55:F55"/>
    <mergeCell ref="B56:F56"/>
    <mergeCell ref="B57:F57"/>
    <mergeCell ref="A59:F5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15"/>
    <col collapsed="false" customWidth="true" hidden="false" outlineLevel="0" max="3" min="3" style="1" width="22"/>
    <col collapsed="false" customWidth="true" hidden="false" outlineLevel="0" max="4" min="4" style="1" width="20"/>
    <col collapsed="false" customWidth="true" hidden="false" outlineLevel="0" max="5" min="5" style="1" width="30"/>
    <col collapsed="false" customWidth="true" hidden="false" outlineLevel="0" max="6" min="6" style="1" width="9"/>
    <col collapsed="false" customWidth="true" hidden="false" outlineLevel="0" max="7" min="7" style="1" width="12"/>
    <col collapsed="false" customWidth="true" hidden="false" outlineLevel="0" max="8" min="8" style="1" width="10"/>
    <col collapsed="false" customWidth="true" hidden="false" outlineLevel="0" max="9" min="9" style="1" width="13"/>
    <col collapsed="false" customWidth="true" hidden="false" outlineLevel="0" max="10" min="10" style="1" width="10"/>
    <col collapsed="false" customWidth="true" hidden="false" outlineLevel="0" max="11" min="11" style="1" width="26"/>
    <col collapsed="false" customWidth="true" hidden="false" outlineLevel="0" max="12" min="12" style="1" width="12"/>
    <col collapsed="false" customWidth="true" hidden="false" outlineLevel="0" max="13" min="13" style="1" width="13"/>
    <col collapsed="false" customWidth="true" hidden="false" outlineLevel="0" max="14" min="14" style="1" width="58"/>
    <col collapsed="false" customWidth="true" hidden="false" outlineLevel="0" max="15" min="15" style="1" width="17"/>
  </cols>
  <sheetData>
    <row r="1" customFormat="false" ht="18" hidden="false" customHeight="true" outlineLevel="0" collapsed="false">
      <c r="A1" s="2" t="s">
        <v>60</v>
      </c>
      <c r="B1" s="2"/>
      <c r="C1" s="2"/>
      <c r="D1" s="2"/>
      <c r="E1" s="2"/>
      <c r="F1" s="2"/>
      <c r="G1" s="2"/>
      <c r="H1" s="2"/>
    </row>
    <row r="2" customFormat="false" ht="15" hidden="false" customHeight="true" outlineLevel="0" collapsed="false">
      <c r="A2" s="3" t="s">
        <v>61</v>
      </c>
      <c r="B2" s="3"/>
      <c r="C2" s="3"/>
      <c r="D2" s="3"/>
      <c r="E2" s="3"/>
      <c r="F2" s="3"/>
      <c r="G2" s="3"/>
      <c r="H2" s="3"/>
    </row>
    <row r="5" customFormat="false" ht="30" hidden="false" customHeight="true" outlineLevel="0" collapsed="false">
      <c r="A5" s="20" t="s">
        <v>62</v>
      </c>
      <c r="B5" s="20" t="s">
        <v>63</v>
      </c>
      <c r="C5" s="20" t="s">
        <v>64</v>
      </c>
      <c r="D5" s="20" t="s">
        <v>65</v>
      </c>
      <c r="E5" s="20" t="s">
        <v>66</v>
      </c>
      <c r="F5" s="20" t="s">
        <v>67</v>
      </c>
      <c r="G5" s="20" t="s">
        <v>68</v>
      </c>
      <c r="H5" s="20" t="s">
        <v>69</v>
      </c>
      <c r="I5" s="20" t="s">
        <v>70</v>
      </c>
      <c r="J5" s="20" t="s">
        <v>71</v>
      </c>
      <c r="K5" s="20" t="s">
        <v>72</v>
      </c>
      <c r="L5" s="20" t="s">
        <v>73</v>
      </c>
      <c r="M5" s="20" t="s">
        <v>74</v>
      </c>
      <c r="N5" s="20" t="s">
        <v>75</v>
      </c>
      <c r="O5" s="20" t="s">
        <v>76</v>
      </c>
    </row>
    <row r="6" customFormat="false" ht="84.75" hidden="false" customHeight="true" outlineLevel="0" collapsed="false">
      <c r="A6" s="21" t="s">
        <v>77</v>
      </c>
      <c r="B6" s="21" t="s">
        <v>78</v>
      </c>
      <c r="C6" s="21" t="s">
        <v>79</v>
      </c>
      <c r="D6" s="21"/>
      <c r="E6" s="15" t="s">
        <v>80</v>
      </c>
      <c r="F6" s="21" t="s">
        <v>81</v>
      </c>
      <c r="G6" s="22" t="n">
        <v>554</v>
      </c>
      <c r="H6" s="22" t="n">
        <v>83.1</v>
      </c>
      <c r="I6" s="22" t="n">
        <v>637.1</v>
      </c>
      <c r="J6" s="23" t="s">
        <v>82</v>
      </c>
      <c r="K6" s="15" t="s">
        <v>83</v>
      </c>
      <c r="L6" s="21" t="s">
        <v>77</v>
      </c>
      <c r="M6" s="24" t="s">
        <v>84</v>
      </c>
      <c r="N6" s="15" t="s">
        <v>85</v>
      </c>
      <c r="O6" s="21" t="s">
        <v>86</v>
      </c>
    </row>
    <row r="7" customFormat="false" ht="63.75" hidden="false" customHeight="true" outlineLevel="0" collapsed="false">
      <c r="A7" s="21" t="s">
        <v>87</v>
      </c>
      <c r="B7" s="21" t="s">
        <v>78</v>
      </c>
      <c r="C7" s="21" t="s">
        <v>88</v>
      </c>
      <c r="D7" s="21"/>
      <c r="E7" s="15" t="s">
        <v>89</v>
      </c>
      <c r="F7" s="21" t="s">
        <v>81</v>
      </c>
      <c r="G7" s="22" t="n">
        <v>1440</v>
      </c>
      <c r="H7" s="22" t="n">
        <v>216</v>
      </c>
      <c r="I7" s="22" t="n">
        <v>1656</v>
      </c>
      <c r="J7" s="23" t="s">
        <v>82</v>
      </c>
      <c r="K7" s="15" t="s">
        <v>83</v>
      </c>
      <c r="L7" s="21" t="s">
        <v>87</v>
      </c>
      <c r="M7" s="24" t="s">
        <v>84</v>
      </c>
      <c r="N7" s="15" t="s">
        <v>90</v>
      </c>
      <c r="O7" s="21" t="s">
        <v>91</v>
      </c>
    </row>
    <row r="8" customFormat="false" ht="74.25" hidden="false" customHeight="true" outlineLevel="0" collapsed="false">
      <c r="A8" s="21" t="s">
        <v>92</v>
      </c>
      <c r="B8" s="21" t="s">
        <v>78</v>
      </c>
      <c r="C8" s="21" t="s">
        <v>93</v>
      </c>
      <c r="D8" s="21"/>
      <c r="E8" s="15" t="s">
        <v>94</v>
      </c>
      <c r="F8" s="21" t="s">
        <v>95</v>
      </c>
      <c r="G8" s="22" t="n">
        <v>657.35</v>
      </c>
      <c r="H8" s="22" t="n">
        <v>98.6</v>
      </c>
      <c r="I8" s="22" t="n">
        <v>755.95</v>
      </c>
      <c r="J8" s="21" t="s">
        <v>96</v>
      </c>
      <c r="K8" s="15" t="s">
        <v>97</v>
      </c>
      <c r="L8" s="21" t="s">
        <v>98</v>
      </c>
      <c r="M8" s="24" t="s">
        <v>84</v>
      </c>
      <c r="N8" s="15" t="s">
        <v>99</v>
      </c>
      <c r="O8" s="21" t="s">
        <v>100</v>
      </c>
    </row>
    <row r="9" customFormat="false" ht="84.75" hidden="false" customHeight="true" outlineLevel="0" collapsed="false">
      <c r="A9" s="21" t="s">
        <v>101</v>
      </c>
      <c r="B9" s="21" t="s">
        <v>78</v>
      </c>
      <c r="C9" s="21" t="s">
        <v>79</v>
      </c>
      <c r="D9" s="21"/>
      <c r="E9" s="15" t="s">
        <v>102</v>
      </c>
      <c r="F9" s="21" t="s">
        <v>95</v>
      </c>
      <c r="G9" s="22" t="n">
        <v>1916</v>
      </c>
      <c r="H9" s="22" t="n">
        <v>287.4</v>
      </c>
      <c r="I9" s="22" t="n">
        <v>2203.4</v>
      </c>
      <c r="J9" s="23" t="s">
        <v>82</v>
      </c>
      <c r="K9" s="15" t="s">
        <v>83</v>
      </c>
      <c r="L9" s="21" t="s">
        <v>101</v>
      </c>
      <c r="M9" s="24" t="s">
        <v>84</v>
      </c>
      <c r="N9" s="15" t="s">
        <v>103</v>
      </c>
      <c r="O9" s="21" t="s">
        <v>104</v>
      </c>
    </row>
    <row r="10" customFormat="false" ht="53.25" hidden="false" customHeight="true" outlineLevel="0" collapsed="false">
      <c r="A10" s="21" t="s">
        <v>105</v>
      </c>
      <c r="B10" s="21" t="s">
        <v>78</v>
      </c>
      <c r="C10" s="21" t="s">
        <v>106</v>
      </c>
      <c r="D10" s="21"/>
      <c r="E10" s="15" t="s">
        <v>107</v>
      </c>
      <c r="F10" s="21" t="s">
        <v>81</v>
      </c>
      <c r="G10" s="22" t="n">
        <v>405</v>
      </c>
      <c r="H10" s="22" t="n">
        <v>60.75</v>
      </c>
      <c r="I10" s="22" t="n">
        <v>465.75</v>
      </c>
      <c r="J10" s="21" t="s">
        <v>96</v>
      </c>
      <c r="K10" s="15" t="s">
        <v>97</v>
      </c>
      <c r="L10" s="21" t="s">
        <v>105</v>
      </c>
      <c r="M10" s="24" t="s">
        <v>84</v>
      </c>
      <c r="N10" s="15" t="s">
        <v>108</v>
      </c>
      <c r="O10" s="21" t="s">
        <v>109</v>
      </c>
    </row>
    <row r="11" customFormat="false" ht="63.75" hidden="false" customHeight="true" outlineLevel="0" collapsed="false">
      <c r="A11" s="21" t="s">
        <v>110</v>
      </c>
      <c r="B11" s="21" t="s">
        <v>78</v>
      </c>
      <c r="C11" s="21" t="s">
        <v>88</v>
      </c>
      <c r="D11" s="21"/>
      <c r="E11" s="15" t="s">
        <v>111</v>
      </c>
      <c r="F11" s="21" t="s">
        <v>95</v>
      </c>
      <c r="G11" s="22" t="n">
        <v>3360</v>
      </c>
      <c r="H11" s="22" t="n">
        <v>504</v>
      </c>
      <c r="I11" s="22" t="n">
        <v>3864</v>
      </c>
      <c r="J11" s="23" t="s">
        <v>82</v>
      </c>
      <c r="K11" s="15" t="s">
        <v>83</v>
      </c>
      <c r="L11" s="21" t="s">
        <v>110</v>
      </c>
      <c r="M11" s="24" t="s">
        <v>84</v>
      </c>
      <c r="N11" s="15" t="s">
        <v>112</v>
      </c>
      <c r="O11" s="21" t="s">
        <v>113</v>
      </c>
    </row>
    <row r="12" customFormat="false" ht="53.25" hidden="false" customHeight="true" outlineLevel="0" collapsed="false">
      <c r="A12" s="21" t="s">
        <v>114</v>
      </c>
      <c r="B12" s="21" t="s">
        <v>78</v>
      </c>
      <c r="C12" s="21" t="s">
        <v>106</v>
      </c>
      <c r="D12" s="21"/>
      <c r="E12" s="15" t="s">
        <v>115</v>
      </c>
      <c r="F12" s="21" t="s">
        <v>95</v>
      </c>
      <c r="G12" s="22" t="n">
        <v>945.22</v>
      </c>
      <c r="H12" s="22" t="n">
        <v>141.78</v>
      </c>
      <c r="I12" s="22" t="n">
        <v>1087</v>
      </c>
      <c r="J12" s="23" t="s">
        <v>82</v>
      </c>
      <c r="K12" s="15" t="s">
        <v>116</v>
      </c>
      <c r="L12" s="21" t="s">
        <v>114</v>
      </c>
      <c r="M12" s="24" t="s">
        <v>84</v>
      </c>
      <c r="N12" s="15" t="s">
        <v>117</v>
      </c>
      <c r="O12" s="21" t="s">
        <v>118</v>
      </c>
    </row>
    <row r="13" customFormat="false" ht="53.25" hidden="false" customHeight="true" outlineLevel="0" collapsed="false">
      <c r="A13" s="21" t="s">
        <v>119</v>
      </c>
      <c r="B13" s="21" t="s">
        <v>78</v>
      </c>
      <c r="C13" s="21" t="s">
        <v>120</v>
      </c>
      <c r="D13" s="21" t="s">
        <v>121</v>
      </c>
      <c r="E13" s="15" t="s">
        <v>122</v>
      </c>
      <c r="F13" s="21" t="s">
        <v>123</v>
      </c>
      <c r="G13" s="22" t="n">
        <v>360</v>
      </c>
      <c r="H13" s="22" t="n">
        <v>54</v>
      </c>
      <c r="I13" s="22" t="n">
        <v>414</v>
      </c>
      <c r="J13" s="21" t="s">
        <v>96</v>
      </c>
      <c r="K13" s="15" t="s">
        <v>97</v>
      </c>
      <c r="L13" s="21"/>
      <c r="M13" s="23" t="s">
        <v>124</v>
      </c>
      <c r="N13" s="15" t="s">
        <v>125</v>
      </c>
      <c r="O13" s="21" t="s">
        <v>126</v>
      </c>
    </row>
    <row r="14" customFormat="false" ht="84.75" hidden="false" customHeight="true" outlineLevel="0" collapsed="false">
      <c r="A14" s="21" t="s">
        <v>127</v>
      </c>
      <c r="B14" s="21" t="s">
        <v>78</v>
      </c>
      <c r="C14" s="21" t="s">
        <v>128</v>
      </c>
      <c r="D14" s="21"/>
      <c r="E14" s="15" t="s">
        <v>129</v>
      </c>
      <c r="F14" s="21" t="s">
        <v>81</v>
      </c>
      <c r="G14" s="22" t="n">
        <v>852.17</v>
      </c>
      <c r="H14" s="22" t="n">
        <v>127.83</v>
      </c>
      <c r="I14" s="22" t="n">
        <v>980</v>
      </c>
      <c r="J14" s="21" t="s">
        <v>96</v>
      </c>
      <c r="K14" s="15" t="s">
        <v>83</v>
      </c>
      <c r="L14" s="21" t="s">
        <v>127</v>
      </c>
      <c r="M14" s="24" t="s">
        <v>84</v>
      </c>
      <c r="N14" s="15" t="s">
        <v>130</v>
      </c>
      <c r="O14" s="21" t="s">
        <v>131</v>
      </c>
    </row>
    <row r="15" customFormat="false" ht="53.25" hidden="false" customHeight="true" outlineLevel="0" collapsed="false">
      <c r="A15" s="21" t="s">
        <v>132</v>
      </c>
      <c r="B15" s="21" t="s">
        <v>78</v>
      </c>
      <c r="C15" s="21" t="s">
        <v>133</v>
      </c>
      <c r="D15" s="21"/>
      <c r="E15" s="15" t="s">
        <v>134</v>
      </c>
      <c r="F15" s="21" t="s">
        <v>81</v>
      </c>
      <c r="G15" s="22" t="n">
        <v>256</v>
      </c>
      <c r="H15" s="22" t="n">
        <v>38.4</v>
      </c>
      <c r="I15" s="22" t="n">
        <v>294.4</v>
      </c>
      <c r="J15" s="21" t="s">
        <v>96</v>
      </c>
      <c r="K15" s="15" t="s">
        <v>97</v>
      </c>
      <c r="L15" s="21" t="s">
        <v>135</v>
      </c>
      <c r="M15" s="24" t="s">
        <v>84</v>
      </c>
      <c r="N15" s="15" t="s">
        <v>136</v>
      </c>
      <c r="O15" s="21" t="s">
        <v>137</v>
      </c>
    </row>
    <row r="16" customFormat="false" ht="95.25" hidden="false" customHeight="true" outlineLevel="0" collapsed="false">
      <c r="A16" s="21" t="s">
        <v>138</v>
      </c>
      <c r="B16" s="21" t="s">
        <v>78</v>
      </c>
      <c r="C16" s="21" t="s">
        <v>139</v>
      </c>
      <c r="D16" s="21"/>
      <c r="E16" s="15" t="s">
        <v>140</v>
      </c>
      <c r="F16" s="21" t="s">
        <v>141</v>
      </c>
      <c r="G16" s="22" t="n">
        <v>2320</v>
      </c>
      <c r="H16" s="22" t="n">
        <v>348</v>
      </c>
      <c r="I16" s="22" t="n">
        <v>2668</v>
      </c>
      <c r="J16" s="23" t="s">
        <v>82</v>
      </c>
      <c r="K16" s="15" t="s">
        <v>83</v>
      </c>
      <c r="L16" s="21"/>
      <c r="M16" s="23" t="s">
        <v>124</v>
      </c>
      <c r="N16" s="15" t="s">
        <v>142</v>
      </c>
      <c r="O16" s="21" t="s">
        <v>143</v>
      </c>
    </row>
    <row r="17" customFormat="false" ht="63.75" hidden="false" customHeight="true" outlineLevel="0" collapsed="false">
      <c r="A17" s="21" t="s">
        <v>144</v>
      </c>
      <c r="B17" s="21" t="s">
        <v>78</v>
      </c>
      <c r="C17" s="21" t="s">
        <v>145</v>
      </c>
      <c r="D17" s="21"/>
      <c r="E17" s="15" t="s">
        <v>146</v>
      </c>
      <c r="F17" s="21" t="s">
        <v>81</v>
      </c>
      <c r="G17" s="22" t="n">
        <v>294</v>
      </c>
      <c r="H17" s="22" t="n">
        <v>44.1</v>
      </c>
      <c r="I17" s="22" t="n">
        <v>338.1</v>
      </c>
      <c r="J17" s="23" t="s">
        <v>82</v>
      </c>
      <c r="K17" s="15" t="s">
        <v>83</v>
      </c>
      <c r="L17" s="21" t="s">
        <v>144</v>
      </c>
      <c r="M17" s="24" t="s">
        <v>84</v>
      </c>
      <c r="N17" s="15" t="s">
        <v>147</v>
      </c>
      <c r="O17" s="21" t="s">
        <v>148</v>
      </c>
    </row>
    <row r="18" customFormat="false" ht="95.25" hidden="false" customHeight="true" outlineLevel="0" collapsed="false">
      <c r="A18" s="21" t="s">
        <v>149</v>
      </c>
      <c r="B18" s="21" t="s">
        <v>78</v>
      </c>
      <c r="C18" s="21" t="s">
        <v>139</v>
      </c>
      <c r="D18" s="21"/>
      <c r="E18" s="15" t="s">
        <v>150</v>
      </c>
      <c r="F18" s="21" t="s">
        <v>95</v>
      </c>
      <c r="G18" s="22" t="n">
        <v>1740</v>
      </c>
      <c r="H18" s="22" t="n">
        <v>261</v>
      </c>
      <c r="I18" s="22" t="n">
        <v>2001</v>
      </c>
      <c r="J18" s="23" t="s">
        <v>82</v>
      </c>
      <c r="K18" s="15" t="s">
        <v>83</v>
      </c>
      <c r="L18" s="21" t="s">
        <v>151</v>
      </c>
      <c r="M18" s="24" t="s">
        <v>84</v>
      </c>
      <c r="N18" s="15" t="s">
        <v>152</v>
      </c>
      <c r="O18" s="21" t="s">
        <v>153</v>
      </c>
    </row>
    <row r="19" customFormat="false" ht="53.25" hidden="false" customHeight="true" outlineLevel="0" collapsed="false">
      <c r="A19" s="21" t="s">
        <v>154</v>
      </c>
      <c r="B19" s="21" t="s">
        <v>78</v>
      </c>
      <c r="C19" s="21" t="s">
        <v>133</v>
      </c>
      <c r="D19" s="21"/>
      <c r="E19" s="15" t="s">
        <v>155</v>
      </c>
      <c r="F19" s="21" t="s">
        <v>95</v>
      </c>
      <c r="G19" s="22" t="n">
        <v>1024</v>
      </c>
      <c r="H19" s="22" t="n">
        <v>153.6</v>
      </c>
      <c r="I19" s="22" t="n">
        <v>1177.6</v>
      </c>
      <c r="J19" s="21" t="s">
        <v>96</v>
      </c>
      <c r="K19" s="15" t="s">
        <v>97</v>
      </c>
      <c r="L19" s="21"/>
      <c r="M19" s="23" t="s">
        <v>124</v>
      </c>
      <c r="N19" s="15" t="s">
        <v>156</v>
      </c>
      <c r="O19" s="21" t="s">
        <v>157</v>
      </c>
    </row>
    <row r="20" customFormat="false" ht="84.75" hidden="false" customHeight="true" outlineLevel="0" collapsed="false">
      <c r="A20" s="21" t="s">
        <v>154</v>
      </c>
      <c r="B20" s="21" t="s">
        <v>78</v>
      </c>
      <c r="C20" s="21" t="s">
        <v>158</v>
      </c>
      <c r="D20" s="21" t="s">
        <v>159</v>
      </c>
      <c r="E20" s="15" t="s">
        <v>160</v>
      </c>
      <c r="F20" s="21" t="s">
        <v>123</v>
      </c>
      <c r="G20" s="22" t="n">
        <v>426</v>
      </c>
      <c r="H20" s="22" t="n">
        <v>63.9</v>
      </c>
      <c r="I20" s="22" t="n">
        <v>489.9</v>
      </c>
      <c r="J20" s="23" t="s">
        <v>82</v>
      </c>
      <c r="K20" s="15" t="s">
        <v>116</v>
      </c>
      <c r="L20" s="21"/>
      <c r="M20" s="23" t="s">
        <v>124</v>
      </c>
      <c r="N20" s="15" t="s">
        <v>161</v>
      </c>
      <c r="O20" s="21" t="s">
        <v>162</v>
      </c>
    </row>
    <row r="21" customFormat="false" ht="95.25" hidden="false" customHeight="true" outlineLevel="0" collapsed="false">
      <c r="A21" s="21" t="s">
        <v>163</v>
      </c>
      <c r="B21" s="21" t="s">
        <v>78</v>
      </c>
      <c r="C21" s="21" t="s">
        <v>145</v>
      </c>
      <c r="D21" s="21"/>
      <c r="E21" s="15" t="s">
        <v>164</v>
      </c>
      <c r="F21" s="21" t="s">
        <v>95</v>
      </c>
      <c r="G21" s="22" t="n">
        <v>806</v>
      </c>
      <c r="H21" s="22" t="n">
        <v>120.9</v>
      </c>
      <c r="I21" s="22" t="n">
        <v>926.9</v>
      </c>
      <c r="J21" s="23" t="s">
        <v>82</v>
      </c>
      <c r="K21" s="15" t="s">
        <v>83</v>
      </c>
      <c r="L21" s="21" t="s">
        <v>165</v>
      </c>
      <c r="M21" s="24" t="s">
        <v>84</v>
      </c>
      <c r="N21" s="15" t="s">
        <v>166</v>
      </c>
      <c r="O21" s="21" t="s">
        <v>167</v>
      </c>
    </row>
    <row r="22" customFormat="false" ht="42.75" hidden="false" customHeight="true" outlineLevel="0" collapsed="false">
      <c r="A22" s="21" t="s">
        <v>165</v>
      </c>
      <c r="B22" s="21" t="s">
        <v>78</v>
      </c>
      <c r="C22" s="21" t="s">
        <v>168</v>
      </c>
      <c r="D22" s="21"/>
      <c r="E22" s="15" t="s">
        <v>169</v>
      </c>
      <c r="F22" s="21" t="s">
        <v>95</v>
      </c>
      <c r="G22" s="22" t="n">
        <v>1119.13</v>
      </c>
      <c r="H22" s="22" t="n">
        <v>167.87</v>
      </c>
      <c r="I22" s="22" t="n">
        <v>1287</v>
      </c>
      <c r="J22" s="21" t="s">
        <v>96</v>
      </c>
      <c r="K22" s="15" t="s">
        <v>97</v>
      </c>
      <c r="L22" s="21"/>
      <c r="M22" s="23" t="s">
        <v>124</v>
      </c>
      <c r="N22" s="15" t="s">
        <v>170</v>
      </c>
      <c r="O22" s="21" t="s">
        <v>171</v>
      </c>
    </row>
    <row r="23" customFormat="false" ht="95.25" hidden="false" customHeight="true" outlineLevel="0" collapsed="false">
      <c r="A23" s="21" t="s">
        <v>172</v>
      </c>
      <c r="B23" s="21" t="s">
        <v>173</v>
      </c>
      <c r="C23" s="21" t="s">
        <v>174</v>
      </c>
      <c r="D23" s="21" t="s">
        <v>175</v>
      </c>
      <c r="E23" s="15" t="s">
        <v>176</v>
      </c>
      <c r="F23" s="21" t="s">
        <v>81</v>
      </c>
      <c r="G23" s="22" t="n">
        <v>2175</v>
      </c>
      <c r="H23" s="22" t="n">
        <v>326.25</v>
      </c>
      <c r="I23" s="22" t="n">
        <v>2501.25</v>
      </c>
      <c r="J23" s="23" t="s">
        <v>82</v>
      </c>
      <c r="K23" s="15" t="s">
        <v>83</v>
      </c>
      <c r="L23" s="21"/>
      <c r="M23" s="23" t="s">
        <v>124</v>
      </c>
      <c r="N23" s="15" t="s">
        <v>177</v>
      </c>
      <c r="O23" s="21" t="s">
        <v>178</v>
      </c>
    </row>
    <row r="24" customFormat="false" ht="63.75" hidden="false" customHeight="true" outlineLevel="0" collapsed="false">
      <c r="A24" s="21" t="s">
        <v>179</v>
      </c>
      <c r="B24" s="21" t="s">
        <v>180</v>
      </c>
      <c r="C24" s="21" t="s">
        <v>174</v>
      </c>
      <c r="D24" s="21" t="s">
        <v>175</v>
      </c>
      <c r="E24" s="15" t="s">
        <v>181</v>
      </c>
      <c r="F24" s="21" t="s">
        <v>81</v>
      </c>
      <c r="G24" s="22" t="n">
        <v>1845</v>
      </c>
      <c r="H24" s="22" t="n">
        <v>276.75</v>
      </c>
      <c r="I24" s="22" t="n">
        <v>2121.75</v>
      </c>
      <c r="J24" s="21" t="s">
        <v>96</v>
      </c>
      <c r="K24" s="15" t="s">
        <v>97</v>
      </c>
      <c r="L24" s="21"/>
      <c r="M24" s="23" t="s">
        <v>124</v>
      </c>
      <c r="N24" s="15" t="s">
        <v>182</v>
      </c>
      <c r="O24" s="21" t="s">
        <v>183</v>
      </c>
    </row>
    <row r="25" customFormat="false" ht="53.25" hidden="false" customHeight="true" outlineLevel="0" collapsed="false">
      <c r="A25" s="21" t="s">
        <v>184</v>
      </c>
      <c r="B25" s="21" t="s">
        <v>78</v>
      </c>
      <c r="C25" s="21" t="s">
        <v>185</v>
      </c>
      <c r="D25" s="21" t="s">
        <v>186</v>
      </c>
      <c r="E25" s="15" t="s">
        <v>187</v>
      </c>
      <c r="F25" s="21" t="s">
        <v>95</v>
      </c>
      <c r="G25" s="22" t="n">
        <v>490</v>
      </c>
      <c r="H25" s="22" t="n">
        <v>73.5</v>
      </c>
      <c r="I25" s="22" t="n">
        <v>563.5</v>
      </c>
      <c r="J25" s="23" t="s">
        <v>82</v>
      </c>
      <c r="K25" s="15" t="s">
        <v>83</v>
      </c>
      <c r="L25" s="21"/>
      <c r="M25" s="23" t="s">
        <v>124</v>
      </c>
      <c r="N25" s="15" t="s">
        <v>188</v>
      </c>
      <c r="O25" s="21" t="s">
        <v>189</v>
      </c>
    </row>
    <row r="26" customFormat="false" ht="84.75" hidden="false" customHeight="true" outlineLevel="0" collapsed="false">
      <c r="A26" s="21" t="s">
        <v>190</v>
      </c>
      <c r="B26" s="21" t="s">
        <v>191</v>
      </c>
      <c r="C26" s="21" t="s">
        <v>192</v>
      </c>
      <c r="D26" s="21"/>
      <c r="E26" s="15" t="s">
        <v>193</v>
      </c>
      <c r="F26" s="21" t="s">
        <v>81</v>
      </c>
      <c r="G26" s="22" t="n">
        <v>900</v>
      </c>
      <c r="H26" s="22" t="n">
        <v>135</v>
      </c>
      <c r="I26" s="22" t="n">
        <v>1035</v>
      </c>
      <c r="J26" s="21" t="s">
        <v>96</v>
      </c>
      <c r="K26" s="15" t="s">
        <v>83</v>
      </c>
      <c r="L26" s="21"/>
      <c r="M26" s="24" t="s">
        <v>84</v>
      </c>
      <c r="N26" s="15" t="s">
        <v>194</v>
      </c>
      <c r="O26" s="21" t="s">
        <v>195</v>
      </c>
    </row>
    <row r="27" customFormat="false" ht="95.25" hidden="false" customHeight="true" outlineLevel="0" collapsed="false">
      <c r="A27" s="21" t="s">
        <v>196</v>
      </c>
      <c r="B27" s="21" t="s">
        <v>197</v>
      </c>
      <c r="C27" s="21" t="s">
        <v>174</v>
      </c>
      <c r="D27" s="21" t="s">
        <v>175</v>
      </c>
      <c r="E27" s="15" t="s">
        <v>198</v>
      </c>
      <c r="F27" s="21" t="s">
        <v>95</v>
      </c>
      <c r="G27" s="22" t="n">
        <v>7075</v>
      </c>
      <c r="H27" s="22" t="n">
        <v>1061.25</v>
      </c>
      <c r="I27" s="22" t="n">
        <v>8136.25</v>
      </c>
      <c r="J27" s="23" t="s">
        <v>82</v>
      </c>
      <c r="K27" s="15" t="s">
        <v>83</v>
      </c>
      <c r="L27" s="21"/>
      <c r="M27" s="23" t="s">
        <v>124</v>
      </c>
      <c r="N27" s="15" t="s">
        <v>199</v>
      </c>
      <c r="O27" s="21" t="s">
        <v>200</v>
      </c>
    </row>
    <row r="28" customFormat="false" ht="63.75" hidden="false" customHeight="true" outlineLevel="0" collapsed="false">
      <c r="A28" s="21" t="s">
        <v>201</v>
      </c>
      <c r="B28" s="21" t="s">
        <v>202</v>
      </c>
      <c r="C28" s="21" t="s">
        <v>203</v>
      </c>
      <c r="D28" s="21" t="s">
        <v>204</v>
      </c>
      <c r="E28" s="15" t="s">
        <v>205</v>
      </c>
      <c r="F28" s="21" t="s">
        <v>95</v>
      </c>
      <c r="G28" s="22" t="n">
        <v>2559</v>
      </c>
      <c r="H28" s="22" t="n">
        <v>383.85</v>
      </c>
      <c r="I28" s="22" t="n">
        <v>2942.85</v>
      </c>
      <c r="J28" s="21" t="s">
        <v>96</v>
      </c>
      <c r="K28" s="15" t="s">
        <v>83</v>
      </c>
      <c r="L28" s="21"/>
      <c r="M28" s="23" t="s">
        <v>124</v>
      </c>
      <c r="N28" s="15" t="s">
        <v>206</v>
      </c>
      <c r="O28" s="21" t="s">
        <v>207</v>
      </c>
    </row>
    <row r="29" customFormat="false" ht="53.25" hidden="false" customHeight="true" outlineLevel="0" collapsed="false">
      <c r="A29" s="21" t="s">
        <v>208</v>
      </c>
      <c r="B29" s="21" t="s">
        <v>209</v>
      </c>
      <c r="C29" s="21" t="s">
        <v>210</v>
      </c>
      <c r="D29" s="21"/>
      <c r="E29" s="15" t="s">
        <v>211</v>
      </c>
      <c r="F29" s="21" t="s">
        <v>81</v>
      </c>
      <c r="G29" s="22" t="n">
        <v>4470</v>
      </c>
      <c r="H29" s="22" t="n">
        <v>670.5</v>
      </c>
      <c r="I29" s="22" t="n">
        <v>5140.5</v>
      </c>
      <c r="J29" s="21" t="s">
        <v>96</v>
      </c>
      <c r="K29" s="15" t="s">
        <v>83</v>
      </c>
      <c r="L29" s="21" t="s">
        <v>212</v>
      </c>
      <c r="M29" s="24" t="s">
        <v>84</v>
      </c>
      <c r="N29" s="15" t="s">
        <v>213</v>
      </c>
      <c r="O29" s="21" t="s">
        <v>214</v>
      </c>
    </row>
    <row r="30" customFormat="false" ht="95.25" hidden="false" customHeight="true" outlineLevel="0" collapsed="false">
      <c r="A30" s="21" t="s">
        <v>208</v>
      </c>
      <c r="B30" s="21" t="s">
        <v>215</v>
      </c>
      <c r="C30" s="21" t="s">
        <v>216</v>
      </c>
      <c r="D30" s="21"/>
      <c r="E30" s="15" t="s">
        <v>217</v>
      </c>
      <c r="F30" s="21" t="s">
        <v>81</v>
      </c>
      <c r="G30" s="22" t="n">
        <v>4398</v>
      </c>
      <c r="H30" s="22" t="n">
        <v>659.7</v>
      </c>
      <c r="I30" s="22" t="n">
        <v>5057.7</v>
      </c>
      <c r="J30" s="21" t="s">
        <v>96</v>
      </c>
      <c r="K30" s="15" t="s">
        <v>83</v>
      </c>
      <c r="L30" s="21"/>
      <c r="M30" s="23" t="s">
        <v>124</v>
      </c>
      <c r="N30" s="15" t="s">
        <v>218</v>
      </c>
      <c r="O30" s="21" t="s">
        <v>219</v>
      </c>
    </row>
    <row r="31" customFormat="false" ht="95.25" hidden="false" customHeight="true" outlineLevel="0" collapsed="false">
      <c r="A31" s="21" t="s">
        <v>220</v>
      </c>
      <c r="B31" s="21" t="s">
        <v>215</v>
      </c>
      <c r="C31" s="21" t="s">
        <v>106</v>
      </c>
      <c r="D31" s="21"/>
      <c r="E31" s="15" t="s">
        <v>221</v>
      </c>
      <c r="F31" s="21" t="s">
        <v>81</v>
      </c>
      <c r="G31" s="22" t="n">
        <v>1035</v>
      </c>
      <c r="H31" s="22" t="n">
        <v>155.25</v>
      </c>
      <c r="I31" s="22" t="n">
        <v>1190.25</v>
      </c>
      <c r="J31" s="23" t="s">
        <v>82</v>
      </c>
      <c r="K31" s="15" t="s">
        <v>83</v>
      </c>
      <c r="L31" s="21" t="s">
        <v>222</v>
      </c>
      <c r="M31" s="24" t="s">
        <v>84</v>
      </c>
      <c r="N31" s="15" t="s">
        <v>223</v>
      </c>
      <c r="O31" s="21" t="s">
        <v>224</v>
      </c>
    </row>
    <row r="32" customFormat="false" ht="84.75" hidden="false" customHeight="true" outlineLevel="0" collapsed="false">
      <c r="A32" s="21" t="s">
        <v>225</v>
      </c>
      <c r="B32" s="21" t="s">
        <v>226</v>
      </c>
      <c r="C32" s="21" t="s">
        <v>192</v>
      </c>
      <c r="D32" s="21"/>
      <c r="E32" s="15" t="s">
        <v>227</v>
      </c>
      <c r="F32" s="21" t="s">
        <v>95</v>
      </c>
      <c r="G32" s="22" t="n">
        <v>1299</v>
      </c>
      <c r="H32" s="22" t="n">
        <v>194.85</v>
      </c>
      <c r="I32" s="22" t="n">
        <v>1493.85</v>
      </c>
      <c r="J32" s="21" t="s">
        <v>96</v>
      </c>
      <c r="K32" s="15" t="s">
        <v>83</v>
      </c>
      <c r="L32" s="21" t="s">
        <v>228</v>
      </c>
      <c r="M32" s="24" t="s">
        <v>84</v>
      </c>
      <c r="N32" s="15" t="s">
        <v>229</v>
      </c>
      <c r="O32" s="21" t="s">
        <v>230</v>
      </c>
    </row>
    <row r="33" customFormat="false" ht="63.75" hidden="false" customHeight="true" outlineLevel="0" collapsed="false">
      <c r="A33" s="21" t="s">
        <v>225</v>
      </c>
      <c r="B33" s="21" t="s">
        <v>231</v>
      </c>
      <c r="C33" s="21" t="s">
        <v>79</v>
      </c>
      <c r="D33" s="21"/>
      <c r="E33" s="15" t="s">
        <v>232</v>
      </c>
      <c r="F33" s="21" t="s">
        <v>123</v>
      </c>
      <c r="G33" s="22" t="n">
        <v>420</v>
      </c>
      <c r="H33" s="22" t="n">
        <v>63</v>
      </c>
      <c r="I33" s="22" t="n">
        <v>483</v>
      </c>
      <c r="J33" s="21" t="s">
        <v>96</v>
      </c>
      <c r="K33" s="15" t="s">
        <v>97</v>
      </c>
      <c r="L33" s="21"/>
      <c r="M33" s="23" t="s">
        <v>124</v>
      </c>
      <c r="N33" s="15" t="s">
        <v>233</v>
      </c>
      <c r="O33" s="21" t="s">
        <v>234</v>
      </c>
    </row>
    <row r="34" customFormat="false" ht="95.25" hidden="false" customHeight="true" outlineLevel="0" collapsed="false">
      <c r="A34" s="21" t="s">
        <v>235</v>
      </c>
      <c r="B34" s="21" t="s">
        <v>236</v>
      </c>
      <c r="C34" s="21" t="s">
        <v>174</v>
      </c>
      <c r="D34" s="21" t="s">
        <v>175</v>
      </c>
      <c r="E34" s="15" t="s">
        <v>237</v>
      </c>
      <c r="F34" s="21" t="s">
        <v>95</v>
      </c>
      <c r="G34" s="22"/>
      <c r="H34" s="22"/>
      <c r="I34" s="25"/>
      <c r="J34" s="23" t="s">
        <v>82</v>
      </c>
      <c r="K34" s="15" t="s">
        <v>83</v>
      </c>
      <c r="L34" s="21" t="s">
        <v>238</v>
      </c>
      <c r="M34" s="24" t="s">
        <v>84</v>
      </c>
      <c r="N34" s="15" t="s">
        <v>239</v>
      </c>
      <c r="O34" s="21" t="s">
        <v>240</v>
      </c>
    </row>
    <row r="35" customFormat="false" ht="95.25" hidden="false" customHeight="true" outlineLevel="0" collapsed="false">
      <c r="A35" s="21" t="s">
        <v>241</v>
      </c>
      <c r="B35" s="21" t="s">
        <v>242</v>
      </c>
      <c r="C35" s="21" t="s">
        <v>243</v>
      </c>
      <c r="D35" s="21" t="s">
        <v>244</v>
      </c>
      <c r="E35" s="15" t="s">
        <v>245</v>
      </c>
      <c r="F35" s="21" t="s">
        <v>81</v>
      </c>
      <c r="G35" s="22" t="n">
        <v>1560</v>
      </c>
      <c r="H35" s="22" t="n">
        <v>234</v>
      </c>
      <c r="I35" s="22" t="n">
        <v>1794</v>
      </c>
      <c r="J35" s="21" t="s">
        <v>96</v>
      </c>
      <c r="K35" s="15" t="s">
        <v>83</v>
      </c>
      <c r="L35" s="21"/>
      <c r="M35" s="23" t="s">
        <v>124</v>
      </c>
      <c r="N35" s="15" t="s">
        <v>246</v>
      </c>
      <c r="O35" s="21" t="s">
        <v>247</v>
      </c>
    </row>
    <row r="36" customFormat="false" ht="95.25" hidden="false" customHeight="true" outlineLevel="0" collapsed="false">
      <c r="A36" s="21" t="s">
        <v>248</v>
      </c>
      <c r="B36" s="21" t="s">
        <v>249</v>
      </c>
      <c r="C36" s="21" t="s">
        <v>250</v>
      </c>
      <c r="D36" s="21" t="s">
        <v>244</v>
      </c>
      <c r="E36" s="15" t="s">
        <v>251</v>
      </c>
      <c r="F36" s="21" t="s">
        <v>95</v>
      </c>
      <c r="G36" s="22" t="n">
        <v>3640</v>
      </c>
      <c r="H36" s="22" t="n">
        <v>546</v>
      </c>
      <c r="I36" s="22" t="n">
        <v>4186</v>
      </c>
      <c r="J36" s="21" t="s">
        <v>96</v>
      </c>
      <c r="K36" s="15" t="s">
        <v>83</v>
      </c>
      <c r="L36" s="21"/>
      <c r="M36" s="23" t="s">
        <v>124</v>
      </c>
      <c r="N36" s="15" t="s">
        <v>252</v>
      </c>
      <c r="O36" s="21" t="s">
        <v>253</v>
      </c>
    </row>
    <row r="37" customFormat="false" ht="84.75" hidden="false" customHeight="true" outlineLevel="0" collapsed="false">
      <c r="A37" s="21" t="s">
        <v>254</v>
      </c>
      <c r="B37" s="21" t="s">
        <v>255</v>
      </c>
      <c r="C37" s="21" t="s">
        <v>174</v>
      </c>
      <c r="D37" s="21" t="s">
        <v>175</v>
      </c>
      <c r="E37" s="15" t="s">
        <v>256</v>
      </c>
      <c r="F37" s="21" t="s">
        <v>81</v>
      </c>
      <c r="G37" s="22" t="n">
        <v>983.25</v>
      </c>
      <c r="H37" s="22" t="n">
        <v>147.49</v>
      </c>
      <c r="I37" s="22" t="n">
        <v>1130.74</v>
      </c>
      <c r="J37" s="21" t="s">
        <v>96</v>
      </c>
      <c r="K37" s="15" t="s">
        <v>83</v>
      </c>
      <c r="L37" s="21"/>
      <c r="M37" s="23" t="s">
        <v>124</v>
      </c>
      <c r="N37" s="15" t="s">
        <v>257</v>
      </c>
      <c r="O37" s="21" t="s">
        <v>258</v>
      </c>
    </row>
    <row r="38" customFormat="false" ht="95.25" hidden="false" customHeight="true" outlineLevel="0" collapsed="false">
      <c r="A38" s="21" t="s">
        <v>238</v>
      </c>
      <c r="B38" s="21" t="s">
        <v>259</v>
      </c>
      <c r="C38" s="21" t="s">
        <v>260</v>
      </c>
      <c r="D38" s="21" t="s">
        <v>175</v>
      </c>
      <c r="E38" s="15" t="s">
        <v>261</v>
      </c>
      <c r="F38" s="21" t="s">
        <v>81</v>
      </c>
      <c r="G38" s="22" t="n">
        <v>596.85</v>
      </c>
      <c r="H38" s="22" t="n">
        <v>89.53</v>
      </c>
      <c r="I38" s="22" t="n">
        <v>686.38</v>
      </c>
      <c r="J38" s="21" t="s">
        <v>96</v>
      </c>
      <c r="K38" s="15" t="s">
        <v>83</v>
      </c>
      <c r="L38" s="21" t="s">
        <v>262</v>
      </c>
      <c r="M38" s="24" t="s">
        <v>84</v>
      </c>
      <c r="N38" s="15" t="s">
        <v>263</v>
      </c>
      <c r="O38" s="21" t="s">
        <v>264</v>
      </c>
    </row>
    <row r="39" customFormat="false" ht="63.75" hidden="false" customHeight="true" outlineLevel="0" collapsed="false">
      <c r="A39" s="21" t="s">
        <v>265</v>
      </c>
      <c r="B39" s="21" t="s">
        <v>78</v>
      </c>
      <c r="C39" s="21" t="s">
        <v>266</v>
      </c>
      <c r="D39" s="21" t="s">
        <v>267</v>
      </c>
      <c r="E39" s="15" t="s">
        <v>268</v>
      </c>
      <c r="F39" s="21" t="s">
        <v>95</v>
      </c>
      <c r="G39" s="22" t="n">
        <v>1150</v>
      </c>
      <c r="H39" s="22" t="n">
        <v>172.5</v>
      </c>
      <c r="I39" s="22" t="n">
        <v>1322.5</v>
      </c>
      <c r="J39" s="21" t="s">
        <v>96</v>
      </c>
      <c r="K39" s="15" t="s">
        <v>97</v>
      </c>
      <c r="L39" s="21" t="s">
        <v>265</v>
      </c>
      <c r="M39" s="24" t="s">
        <v>84</v>
      </c>
      <c r="N39" s="15" t="s">
        <v>269</v>
      </c>
      <c r="O39" s="21" t="s">
        <v>270</v>
      </c>
    </row>
    <row r="40" customFormat="false" ht="84.75" hidden="false" customHeight="true" outlineLevel="0" collapsed="false">
      <c r="A40" s="21" t="s">
        <v>271</v>
      </c>
      <c r="B40" s="21" t="s">
        <v>78</v>
      </c>
      <c r="C40" s="21" t="s">
        <v>174</v>
      </c>
      <c r="D40" s="21" t="s">
        <v>175</v>
      </c>
      <c r="E40" s="15" t="s">
        <v>272</v>
      </c>
      <c r="F40" s="21" t="s">
        <v>95</v>
      </c>
      <c r="G40" s="22" t="n">
        <v>2294.25</v>
      </c>
      <c r="H40" s="22" t="n">
        <v>344.14</v>
      </c>
      <c r="I40" s="22" t="n">
        <v>2638.39</v>
      </c>
      <c r="J40" s="23" t="s">
        <v>82</v>
      </c>
      <c r="K40" s="15" t="s">
        <v>83</v>
      </c>
      <c r="L40" s="21"/>
      <c r="M40" s="23" t="s">
        <v>124</v>
      </c>
      <c r="N40" s="15" t="s">
        <v>273</v>
      </c>
      <c r="O40" s="21" t="s">
        <v>274</v>
      </c>
    </row>
    <row r="41" customFormat="false" ht="84.75" hidden="false" customHeight="true" outlineLevel="0" collapsed="false">
      <c r="A41" s="21" t="s">
        <v>275</v>
      </c>
      <c r="B41" s="21" t="s">
        <v>276</v>
      </c>
      <c r="C41" s="21" t="s">
        <v>106</v>
      </c>
      <c r="D41" s="21"/>
      <c r="E41" s="15" t="s">
        <v>277</v>
      </c>
      <c r="F41" s="21" t="s">
        <v>95</v>
      </c>
      <c r="G41" s="22" t="n">
        <v>2415</v>
      </c>
      <c r="H41" s="22" t="n">
        <v>362.25</v>
      </c>
      <c r="I41" s="22" t="n">
        <v>2777.25</v>
      </c>
      <c r="J41" s="21" t="s">
        <v>96</v>
      </c>
      <c r="K41" s="15" t="s">
        <v>97</v>
      </c>
      <c r="L41" s="21"/>
      <c r="M41" s="23" t="s">
        <v>124</v>
      </c>
      <c r="N41" s="15" t="s">
        <v>278</v>
      </c>
      <c r="O41" s="21" t="s">
        <v>279</v>
      </c>
    </row>
    <row r="42" customFormat="false" ht="95.25" hidden="false" customHeight="true" outlineLevel="0" collapsed="false">
      <c r="A42" s="21" t="s">
        <v>280</v>
      </c>
      <c r="B42" s="21" t="s">
        <v>281</v>
      </c>
      <c r="C42" s="21" t="s">
        <v>260</v>
      </c>
      <c r="D42" s="21" t="s">
        <v>175</v>
      </c>
      <c r="E42" s="15" t="s">
        <v>282</v>
      </c>
      <c r="F42" s="21" t="s">
        <v>95</v>
      </c>
      <c r="G42" s="22" t="n">
        <v>1133.15</v>
      </c>
      <c r="H42" s="22" t="n">
        <v>169.97</v>
      </c>
      <c r="I42" s="22" t="n">
        <v>1303.12</v>
      </c>
      <c r="J42" s="21" t="s">
        <v>96</v>
      </c>
      <c r="K42" s="15" t="s">
        <v>83</v>
      </c>
      <c r="L42" s="21"/>
      <c r="M42" s="23" t="s">
        <v>124</v>
      </c>
      <c r="N42" s="15" t="s">
        <v>283</v>
      </c>
      <c r="O42" s="21" t="s">
        <v>284</v>
      </c>
    </row>
    <row r="44" customFormat="false" ht="15" hidden="false" customHeight="true" outlineLevel="0" collapsed="false">
      <c r="F44" s="6" t="s">
        <v>285</v>
      </c>
      <c r="G44" s="26" t="n">
        <f aca="false">SUM(G6:G42)</f>
        <v>58913.37</v>
      </c>
      <c r="H44" s="26" t="n">
        <f aca="false">SUM(H6:H42)</f>
        <v>8837.01</v>
      </c>
      <c r="I44" s="26" t="n">
        <f aca="false">SUM(I6:I42)</f>
        <v>67750.38</v>
      </c>
    </row>
    <row r="45" customFormat="false" ht="15" hidden="false" customHeight="true" outlineLevel="0" collapsed="false">
      <c r="F45" s="27" t="s">
        <v>286</v>
      </c>
      <c r="G45" s="28"/>
      <c r="H45" s="28"/>
      <c r="I45" s="29" t="n">
        <f aca="false">SUMIF($J$6:$J$42,"Yes",$I$6:$I$42)</f>
        <v>36849.34</v>
      </c>
    </row>
    <row r="46" customFormat="false" ht="15" hidden="false" customHeight="true" outlineLevel="0" collapsed="false">
      <c r="F46" s="27" t="s">
        <v>287</v>
      </c>
      <c r="I46" s="29" t="n">
        <f aca="false">SUMIF($J$6:$J$42,"No",$I$6:$I$42)</f>
        <v>30901.04</v>
      </c>
    </row>
    <row r="47" customFormat="false" ht="15" hidden="false" customHeight="true" outlineLevel="0" collapsed="false">
      <c r="F47" s="27" t="s">
        <v>84</v>
      </c>
      <c r="I47" s="29" t="n">
        <f aca="false">SUMIF($M$6:$M$42,"Paid",$I$6:$I$42)</f>
        <v>26078.08</v>
      </c>
    </row>
    <row r="48" customFormat="false" ht="15" hidden="false" customHeight="true" outlineLevel="0" collapsed="false">
      <c r="F48" s="27" t="s">
        <v>288</v>
      </c>
      <c r="I48" s="29" t="n">
        <f aca="false">$I$44-$I$47</f>
        <v>41672.3</v>
      </c>
    </row>
  </sheetData>
  <autoFilter ref="A5:O42"/>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26"/>
    <col collapsed="false" customWidth="true" hidden="false" outlineLevel="0" max="3" min="3" style="1" width="16"/>
    <col collapsed="false" customWidth="true" hidden="false" outlineLevel="0" max="4" min="4" style="1" width="34"/>
    <col collapsed="false" customWidth="true" hidden="false" outlineLevel="0" max="5" min="5" style="1" width="20"/>
    <col collapsed="false" customWidth="true" hidden="false" outlineLevel="0" max="6" min="6" style="1" width="12"/>
    <col collapsed="false" customWidth="true" hidden="false" outlineLevel="0" max="7" min="7" style="1" width="10"/>
    <col collapsed="false" customWidth="true" hidden="false" outlineLevel="0" max="8" min="8" style="1" width="13"/>
    <col collapsed="false" customWidth="true" hidden="false" outlineLevel="0" max="10" min="9" style="1" width="10"/>
    <col collapsed="false" customWidth="true" hidden="false" outlineLevel="0" max="11" min="11" style="1" width="12"/>
    <col collapsed="false" customWidth="true" hidden="false" outlineLevel="0" max="12" min="12" style="1" width="13"/>
    <col collapsed="false" customWidth="true" hidden="false" outlineLevel="0" max="14" min="13" style="1" width="42"/>
    <col collapsed="false" customWidth="true" hidden="false" outlineLevel="0" max="15" min="15" style="1" width="17"/>
  </cols>
  <sheetData>
    <row r="1" customFormat="false" ht="18" hidden="false" customHeight="true" outlineLevel="0" collapsed="false">
      <c r="A1" s="2" t="s">
        <v>289</v>
      </c>
      <c r="B1" s="2"/>
      <c r="C1" s="2"/>
      <c r="D1" s="2"/>
      <c r="E1" s="2"/>
      <c r="F1" s="2"/>
      <c r="G1" s="2"/>
      <c r="H1" s="2"/>
    </row>
    <row r="2" customFormat="false" ht="15" hidden="false" customHeight="true" outlineLevel="0" collapsed="false">
      <c r="A2" s="3" t="s">
        <v>290</v>
      </c>
      <c r="B2" s="3"/>
      <c r="C2" s="3"/>
      <c r="D2" s="3"/>
      <c r="E2" s="3"/>
      <c r="F2" s="3"/>
      <c r="G2" s="3"/>
      <c r="H2" s="3"/>
    </row>
    <row r="5" customFormat="false" ht="30" hidden="false" customHeight="true" outlineLevel="0" collapsed="false">
      <c r="A5" s="20" t="s">
        <v>291</v>
      </c>
      <c r="B5" s="20" t="s">
        <v>292</v>
      </c>
      <c r="C5" s="20" t="s">
        <v>63</v>
      </c>
      <c r="D5" s="20" t="s">
        <v>293</v>
      </c>
      <c r="E5" s="20" t="s">
        <v>294</v>
      </c>
      <c r="F5" s="20" t="s">
        <v>68</v>
      </c>
      <c r="G5" s="20" t="s">
        <v>69</v>
      </c>
      <c r="H5" s="20" t="s">
        <v>70</v>
      </c>
      <c r="I5" s="20" t="s">
        <v>71</v>
      </c>
      <c r="J5" s="20" t="s">
        <v>295</v>
      </c>
      <c r="K5" s="20" t="s">
        <v>73</v>
      </c>
      <c r="L5" s="20" t="s">
        <v>74</v>
      </c>
      <c r="M5" s="20" t="s">
        <v>296</v>
      </c>
      <c r="N5" s="20" t="s">
        <v>297</v>
      </c>
      <c r="O5" s="20" t="s">
        <v>76</v>
      </c>
    </row>
    <row r="6" customFormat="false" ht="84.75" hidden="false" customHeight="true" outlineLevel="0" collapsed="false">
      <c r="A6" s="21" t="s">
        <v>87</v>
      </c>
      <c r="B6" s="21" t="s">
        <v>298</v>
      </c>
      <c r="C6" s="21" t="s">
        <v>299</v>
      </c>
      <c r="D6" s="15" t="s">
        <v>300</v>
      </c>
      <c r="E6" s="21" t="s">
        <v>301</v>
      </c>
      <c r="F6" s="22" t="n">
        <v>555</v>
      </c>
      <c r="G6" s="22" t="n">
        <v>83.25</v>
      </c>
      <c r="H6" s="22" t="n">
        <v>638.25</v>
      </c>
      <c r="I6" s="21" t="s">
        <v>96</v>
      </c>
      <c r="J6" s="21"/>
      <c r="K6" s="21" t="s">
        <v>302</v>
      </c>
      <c r="L6" s="24" t="s">
        <v>84</v>
      </c>
      <c r="M6" s="15" t="s">
        <v>303</v>
      </c>
      <c r="N6" s="15" t="s">
        <v>304</v>
      </c>
      <c r="O6" s="21" t="s">
        <v>305</v>
      </c>
    </row>
    <row r="7" customFormat="false" ht="95.25" hidden="false" customHeight="true" outlineLevel="0" collapsed="false">
      <c r="A7" s="21" t="s">
        <v>87</v>
      </c>
      <c r="B7" s="21" t="s">
        <v>306</v>
      </c>
      <c r="C7" s="21" t="s">
        <v>307</v>
      </c>
      <c r="D7" s="15" t="s">
        <v>308</v>
      </c>
      <c r="E7" s="21" t="s">
        <v>309</v>
      </c>
      <c r="F7" s="22" t="n">
        <v>724.02</v>
      </c>
      <c r="G7" s="22" t="n">
        <v>108.6</v>
      </c>
      <c r="H7" s="22" t="n">
        <v>832.62</v>
      </c>
      <c r="I7" s="21" t="s">
        <v>96</v>
      </c>
      <c r="J7" s="21"/>
      <c r="K7" s="21" t="s">
        <v>310</v>
      </c>
      <c r="L7" s="21" t="s">
        <v>311</v>
      </c>
      <c r="M7" s="15" t="s">
        <v>312</v>
      </c>
      <c r="N7" s="15" t="s">
        <v>313</v>
      </c>
      <c r="O7" s="21" t="s">
        <v>314</v>
      </c>
    </row>
    <row r="8" customFormat="false" ht="42.75" hidden="false" customHeight="true" outlineLevel="0" collapsed="false">
      <c r="A8" s="21" t="s">
        <v>315</v>
      </c>
      <c r="B8" s="21" t="s">
        <v>316</v>
      </c>
      <c r="C8" s="21" t="s">
        <v>317</v>
      </c>
      <c r="D8" s="15" t="s">
        <v>318</v>
      </c>
      <c r="E8" s="21" t="s">
        <v>319</v>
      </c>
      <c r="F8" s="22" t="n">
        <v>188.57</v>
      </c>
      <c r="G8" s="22" t="n">
        <v>28.28</v>
      </c>
      <c r="H8" s="22" t="n">
        <v>216.85</v>
      </c>
      <c r="I8" s="21" t="s">
        <v>96</v>
      </c>
      <c r="J8" s="21"/>
      <c r="K8" s="21" t="s">
        <v>302</v>
      </c>
      <c r="L8" s="24" t="s">
        <v>84</v>
      </c>
      <c r="M8" s="15" t="s">
        <v>320</v>
      </c>
      <c r="N8" s="15" t="s">
        <v>321</v>
      </c>
      <c r="O8" s="21" t="s">
        <v>322</v>
      </c>
    </row>
    <row r="9" customFormat="false" ht="84.75" hidden="false" customHeight="true" outlineLevel="0" collapsed="false">
      <c r="A9" s="21" t="s">
        <v>315</v>
      </c>
      <c r="B9" s="21" t="s">
        <v>298</v>
      </c>
      <c r="C9" s="21" t="s">
        <v>323</v>
      </c>
      <c r="D9" s="15" t="s">
        <v>324</v>
      </c>
      <c r="E9" s="21" t="s">
        <v>301</v>
      </c>
      <c r="F9" s="22" t="n">
        <v>369.46</v>
      </c>
      <c r="G9" s="22" t="n">
        <v>55.42</v>
      </c>
      <c r="H9" s="22" t="n">
        <v>424.88</v>
      </c>
      <c r="I9" s="21" t="s">
        <v>96</v>
      </c>
      <c r="J9" s="21"/>
      <c r="K9" s="21" t="s">
        <v>302</v>
      </c>
      <c r="L9" s="24" t="s">
        <v>84</v>
      </c>
      <c r="M9" s="15" t="s">
        <v>303</v>
      </c>
      <c r="N9" s="15" t="s">
        <v>325</v>
      </c>
      <c r="O9" s="21" t="s">
        <v>326</v>
      </c>
    </row>
    <row r="10" customFormat="false" ht="84.75" hidden="false" customHeight="true" outlineLevel="0" collapsed="false">
      <c r="A10" s="21" t="s">
        <v>92</v>
      </c>
      <c r="B10" s="21" t="s">
        <v>298</v>
      </c>
      <c r="C10" s="21" t="s">
        <v>327</v>
      </c>
      <c r="D10" s="15" t="s">
        <v>328</v>
      </c>
      <c r="E10" s="21" t="s">
        <v>329</v>
      </c>
      <c r="F10" s="22" t="n">
        <v>19.48</v>
      </c>
      <c r="G10" s="22" t="n">
        <v>2.92</v>
      </c>
      <c r="H10" s="22" t="n">
        <v>22.4</v>
      </c>
      <c r="I10" s="21" t="s">
        <v>96</v>
      </c>
      <c r="J10" s="21"/>
      <c r="K10" s="21" t="s">
        <v>302</v>
      </c>
      <c r="L10" s="24" t="s">
        <v>84</v>
      </c>
      <c r="M10" s="15" t="s">
        <v>303</v>
      </c>
      <c r="N10" s="15" t="s">
        <v>330</v>
      </c>
      <c r="O10" s="21" t="s">
        <v>331</v>
      </c>
    </row>
    <row r="11" customFormat="false" ht="84.75" hidden="false" customHeight="true" outlineLevel="0" collapsed="false">
      <c r="A11" s="21" t="s">
        <v>98</v>
      </c>
      <c r="B11" s="21" t="s">
        <v>298</v>
      </c>
      <c r="C11" s="21" t="s">
        <v>332</v>
      </c>
      <c r="D11" s="15" t="s">
        <v>333</v>
      </c>
      <c r="E11" s="21" t="s">
        <v>329</v>
      </c>
      <c r="F11" s="22" t="n">
        <v>96.25</v>
      </c>
      <c r="G11" s="22" t="n">
        <v>14.44</v>
      </c>
      <c r="H11" s="22" t="n">
        <v>110.69</v>
      </c>
      <c r="I11" s="21" t="s">
        <v>96</v>
      </c>
      <c r="J11" s="21"/>
      <c r="K11" s="21" t="s">
        <v>302</v>
      </c>
      <c r="L11" s="24" t="s">
        <v>84</v>
      </c>
      <c r="M11" s="15" t="s">
        <v>303</v>
      </c>
      <c r="N11" s="15" t="s">
        <v>334</v>
      </c>
      <c r="O11" s="21" t="s">
        <v>335</v>
      </c>
    </row>
    <row r="12" customFormat="false" ht="84.75" hidden="false" customHeight="true" outlineLevel="0" collapsed="false">
      <c r="A12" s="21" t="s">
        <v>98</v>
      </c>
      <c r="B12" s="21" t="s">
        <v>298</v>
      </c>
      <c r="C12" s="21" t="s">
        <v>336</v>
      </c>
      <c r="D12" s="15" t="s">
        <v>337</v>
      </c>
      <c r="E12" s="21" t="s">
        <v>329</v>
      </c>
      <c r="F12" s="22" t="n">
        <v>4.9</v>
      </c>
      <c r="G12" s="22" t="n">
        <v>0.74</v>
      </c>
      <c r="H12" s="22" t="n">
        <v>5.64</v>
      </c>
      <c r="I12" s="21" t="s">
        <v>96</v>
      </c>
      <c r="J12" s="21"/>
      <c r="K12" s="21" t="s">
        <v>302</v>
      </c>
      <c r="L12" s="24" t="s">
        <v>84</v>
      </c>
      <c r="M12" s="15" t="s">
        <v>303</v>
      </c>
      <c r="N12" s="15" t="s">
        <v>338</v>
      </c>
      <c r="O12" s="21" t="s">
        <v>339</v>
      </c>
    </row>
    <row r="13" customFormat="false" ht="42.75" hidden="false" customHeight="true" outlineLevel="0" collapsed="false">
      <c r="A13" s="21" t="s">
        <v>340</v>
      </c>
      <c r="B13" s="21" t="s">
        <v>316</v>
      </c>
      <c r="C13" s="21" t="s">
        <v>341</v>
      </c>
      <c r="D13" s="15" t="s">
        <v>342</v>
      </c>
      <c r="E13" s="21" t="s">
        <v>319</v>
      </c>
      <c r="F13" s="22" t="n">
        <v>511.43</v>
      </c>
      <c r="G13" s="22" t="n">
        <v>76.71</v>
      </c>
      <c r="H13" s="22" t="n">
        <v>588.14</v>
      </c>
      <c r="I13" s="21" t="s">
        <v>96</v>
      </c>
      <c r="J13" s="21"/>
      <c r="K13" s="21" t="s">
        <v>343</v>
      </c>
      <c r="L13" s="24" t="s">
        <v>84</v>
      </c>
      <c r="M13" s="15" t="s">
        <v>344</v>
      </c>
      <c r="N13" s="15" t="s">
        <v>321</v>
      </c>
      <c r="O13" s="21" t="s">
        <v>345</v>
      </c>
    </row>
    <row r="14" customFormat="false" ht="63.75" hidden="false" customHeight="true" outlineLevel="0" collapsed="false">
      <c r="A14" s="21" t="s">
        <v>340</v>
      </c>
      <c r="B14" s="21" t="s">
        <v>298</v>
      </c>
      <c r="C14" s="21" t="s">
        <v>346</v>
      </c>
      <c r="D14" s="15" t="s">
        <v>347</v>
      </c>
      <c r="E14" s="21" t="s">
        <v>319</v>
      </c>
      <c r="F14" s="22" t="n">
        <v>47.48</v>
      </c>
      <c r="G14" s="22" t="n">
        <v>7.12</v>
      </c>
      <c r="H14" s="22" t="n">
        <v>54.6</v>
      </c>
      <c r="I14" s="21" t="s">
        <v>96</v>
      </c>
      <c r="J14" s="21"/>
      <c r="K14" s="21"/>
      <c r="L14" s="24" t="s">
        <v>84</v>
      </c>
      <c r="M14" s="15" t="s">
        <v>348</v>
      </c>
      <c r="N14" s="15" t="s">
        <v>349</v>
      </c>
      <c r="O14" s="21" t="s">
        <v>350</v>
      </c>
    </row>
    <row r="15" customFormat="false" ht="63.75" hidden="false" customHeight="true" outlineLevel="0" collapsed="false">
      <c r="A15" s="21" t="s">
        <v>351</v>
      </c>
      <c r="B15" s="21" t="s">
        <v>298</v>
      </c>
      <c r="C15" s="21" t="s">
        <v>352</v>
      </c>
      <c r="D15" s="15" t="s">
        <v>353</v>
      </c>
      <c r="E15" s="21" t="s">
        <v>329</v>
      </c>
      <c r="F15" s="22" t="n">
        <v>41.3</v>
      </c>
      <c r="G15" s="22" t="n">
        <v>6.2</v>
      </c>
      <c r="H15" s="22" t="n">
        <v>47.5</v>
      </c>
      <c r="I15" s="21" t="s">
        <v>96</v>
      </c>
      <c r="J15" s="21"/>
      <c r="K15" s="21"/>
      <c r="L15" s="24" t="s">
        <v>84</v>
      </c>
      <c r="M15" s="15" t="s">
        <v>348</v>
      </c>
      <c r="N15" s="15" t="s">
        <v>354</v>
      </c>
      <c r="O15" s="21" t="s">
        <v>355</v>
      </c>
    </row>
    <row r="16" customFormat="false" ht="42.75" hidden="false" customHeight="true" outlineLevel="0" collapsed="false">
      <c r="A16" s="21" t="s">
        <v>356</v>
      </c>
      <c r="B16" s="21" t="s">
        <v>316</v>
      </c>
      <c r="C16" s="21" t="s">
        <v>357</v>
      </c>
      <c r="D16" s="15" t="s">
        <v>358</v>
      </c>
      <c r="E16" s="21" t="s">
        <v>319</v>
      </c>
      <c r="F16" s="22" t="n">
        <v>88.02</v>
      </c>
      <c r="G16" s="22" t="n">
        <v>13.2</v>
      </c>
      <c r="H16" s="22" t="n">
        <v>101.22</v>
      </c>
      <c r="I16" s="21" t="s">
        <v>96</v>
      </c>
      <c r="J16" s="21"/>
      <c r="K16" s="21" t="s">
        <v>343</v>
      </c>
      <c r="L16" s="24" t="s">
        <v>84</v>
      </c>
      <c r="M16" s="15" t="s">
        <v>359</v>
      </c>
      <c r="N16" s="15" t="s">
        <v>360</v>
      </c>
      <c r="O16" s="21" t="s">
        <v>361</v>
      </c>
    </row>
    <row r="17" customFormat="false" ht="42.75" hidden="false" customHeight="true" outlineLevel="0" collapsed="false">
      <c r="A17" s="21" t="s">
        <v>356</v>
      </c>
      <c r="B17" s="21" t="s">
        <v>316</v>
      </c>
      <c r="C17" s="21" t="s">
        <v>362</v>
      </c>
      <c r="D17" s="15" t="s">
        <v>363</v>
      </c>
      <c r="E17" s="21" t="s">
        <v>319</v>
      </c>
      <c r="F17" s="22" t="n">
        <v>33.24</v>
      </c>
      <c r="G17" s="22" t="n">
        <v>4.99</v>
      </c>
      <c r="H17" s="22" t="n">
        <v>38.23</v>
      </c>
      <c r="I17" s="21" t="s">
        <v>96</v>
      </c>
      <c r="J17" s="21"/>
      <c r="K17" s="21" t="s">
        <v>343</v>
      </c>
      <c r="L17" s="24" t="s">
        <v>84</v>
      </c>
      <c r="M17" s="15" t="s">
        <v>359</v>
      </c>
      <c r="N17" s="15" t="s">
        <v>364</v>
      </c>
      <c r="O17" s="21" t="s">
        <v>361</v>
      </c>
    </row>
    <row r="18" customFormat="false" ht="84.75" hidden="false" customHeight="true" outlineLevel="0" collapsed="false">
      <c r="A18" s="21" t="s">
        <v>365</v>
      </c>
      <c r="B18" s="21" t="s">
        <v>298</v>
      </c>
      <c r="C18" s="21" t="s">
        <v>366</v>
      </c>
      <c r="D18" s="15" t="s">
        <v>367</v>
      </c>
      <c r="E18" s="21" t="s">
        <v>301</v>
      </c>
      <c r="F18" s="22" t="n">
        <v>-150</v>
      </c>
      <c r="G18" s="22" t="n">
        <v>-22.5</v>
      </c>
      <c r="H18" s="22" t="n">
        <v>-172.5</v>
      </c>
      <c r="I18" s="21" t="s">
        <v>96</v>
      </c>
      <c r="J18" s="30" t="s">
        <v>96</v>
      </c>
      <c r="K18" s="21"/>
      <c r="L18" s="24" t="s">
        <v>84</v>
      </c>
      <c r="M18" s="15" t="s">
        <v>348</v>
      </c>
      <c r="N18" s="15" t="s">
        <v>368</v>
      </c>
      <c r="O18" s="21" t="s">
        <v>369</v>
      </c>
    </row>
    <row r="19" customFormat="false" ht="63.75" hidden="false" customHeight="true" outlineLevel="0" collapsed="false">
      <c r="A19" s="21" t="s">
        <v>365</v>
      </c>
      <c r="B19" s="21" t="s">
        <v>298</v>
      </c>
      <c r="C19" s="21" t="s">
        <v>370</v>
      </c>
      <c r="D19" s="15" t="s">
        <v>371</v>
      </c>
      <c r="E19" s="21" t="s">
        <v>301</v>
      </c>
      <c r="F19" s="22" t="n">
        <v>268.32</v>
      </c>
      <c r="G19" s="22" t="n">
        <v>40.25</v>
      </c>
      <c r="H19" s="22" t="n">
        <v>308.57</v>
      </c>
      <c r="I19" s="21" t="s">
        <v>96</v>
      </c>
      <c r="J19" s="21"/>
      <c r="K19" s="21"/>
      <c r="L19" s="24" t="s">
        <v>84</v>
      </c>
      <c r="M19" s="15" t="s">
        <v>348</v>
      </c>
      <c r="N19" s="15" t="s">
        <v>372</v>
      </c>
      <c r="O19" s="21" t="s">
        <v>373</v>
      </c>
    </row>
    <row r="20" customFormat="false" ht="32.25" hidden="false" customHeight="true" outlineLevel="0" collapsed="false">
      <c r="A20" s="21" t="s">
        <v>135</v>
      </c>
      <c r="B20" s="21" t="s">
        <v>316</v>
      </c>
      <c r="C20" s="21" t="s">
        <v>374</v>
      </c>
      <c r="D20" s="15" t="s">
        <v>375</v>
      </c>
      <c r="E20" s="21" t="s">
        <v>319</v>
      </c>
      <c r="F20" s="22" t="n">
        <v>23.13</v>
      </c>
      <c r="G20" s="22" t="n">
        <v>3.47</v>
      </c>
      <c r="H20" s="22" t="n">
        <v>26.6</v>
      </c>
      <c r="I20" s="21" t="s">
        <v>96</v>
      </c>
      <c r="J20" s="21"/>
      <c r="K20" s="21" t="s">
        <v>343</v>
      </c>
      <c r="L20" s="24" t="s">
        <v>84</v>
      </c>
      <c r="M20" s="15" t="s">
        <v>359</v>
      </c>
      <c r="N20" s="15" t="s">
        <v>321</v>
      </c>
      <c r="O20" s="21" t="s">
        <v>376</v>
      </c>
    </row>
    <row r="21" customFormat="false" ht="53.25" hidden="false" customHeight="true" outlineLevel="0" collapsed="false">
      <c r="A21" s="21" t="s">
        <v>377</v>
      </c>
      <c r="B21" s="21" t="s">
        <v>316</v>
      </c>
      <c r="C21" s="21" t="s">
        <v>378</v>
      </c>
      <c r="D21" s="15" t="s">
        <v>379</v>
      </c>
      <c r="E21" s="21" t="s">
        <v>319</v>
      </c>
      <c r="F21" s="22" t="n">
        <v>85.04</v>
      </c>
      <c r="G21" s="22" t="n">
        <v>12.76</v>
      </c>
      <c r="H21" s="22" t="n">
        <v>97.8</v>
      </c>
      <c r="I21" s="21" t="s">
        <v>96</v>
      </c>
      <c r="J21" s="21"/>
      <c r="K21" s="21" t="s">
        <v>343</v>
      </c>
      <c r="L21" s="24" t="s">
        <v>84</v>
      </c>
      <c r="M21" s="15" t="s">
        <v>359</v>
      </c>
      <c r="N21" s="15" t="s">
        <v>380</v>
      </c>
      <c r="O21" s="21" t="s">
        <v>381</v>
      </c>
    </row>
    <row r="22" customFormat="false" ht="53.25" hidden="false" customHeight="true" outlineLevel="0" collapsed="false">
      <c r="A22" s="21" t="s">
        <v>377</v>
      </c>
      <c r="B22" s="21" t="s">
        <v>316</v>
      </c>
      <c r="C22" s="21" t="s">
        <v>382</v>
      </c>
      <c r="D22" s="15" t="s">
        <v>383</v>
      </c>
      <c r="E22" s="21" t="s">
        <v>319</v>
      </c>
      <c r="F22" s="22" t="n">
        <v>15.69</v>
      </c>
      <c r="G22" s="22" t="n">
        <v>2.35</v>
      </c>
      <c r="H22" s="22" t="n">
        <v>18.04</v>
      </c>
      <c r="I22" s="21" t="s">
        <v>96</v>
      </c>
      <c r="J22" s="21"/>
      <c r="K22" s="21" t="s">
        <v>343</v>
      </c>
      <c r="L22" s="24" t="s">
        <v>84</v>
      </c>
      <c r="M22" s="15" t="s">
        <v>359</v>
      </c>
      <c r="N22" s="15" t="s">
        <v>380</v>
      </c>
      <c r="O22" s="21" t="s">
        <v>381</v>
      </c>
    </row>
    <row r="23" customFormat="false" ht="53.25" hidden="false" customHeight="true" outlineLevel="0" collapsed="false">
      <c r="A23" s="21" t="s">
        <v>377</v>
      </c>
      <c r="B23" s="21" t="s">
        <v>316</v>
      </c>
      <c r="C23" s="21" t="s">
        <v>384</v>
      </c>
      <c r="D23" s="15" t="s">
        <v>385</v>
      </c>
      <c r="E23" s="21" t="s">
        <v>319</v>
      </c>
      <c r="F23" s="22" t="n">
        <v>167.89</v>
      </c>
      <c r="G23" s="22" t="n">
        <v>25.18</v>
      </c>
      <c r="H23" s="22" t="n">
        <v>193.07</v>
      </c>
      <c r="I23" s="21" t="s">
        <v>96</v>
      </c>
      <c r="J23" s="21"/>
      <c r="K23" s="21" t="s">
        <v>343</v>
      </c>
      <c r="L23" s="24" t="s">
        <v>84</v>
      </c>
      <c r="M23" s="15" t="s">
        <v>359</v>
      </c>
      <c r="N23" s="15" t="s">
        <v>380</v>
      </c>
      <c r="O23" s="21" t="s">
        <v>381</v>
      </c>
    </row>
    <row r="24" customFormat="false" ht="53.25" hidden="false" customHeight="true" outlineLevel="0" collapsed="false">
      <c r="A24" s="21" t="s">
        <v>377</v>
      </c>
      <c r="B24" s="21" t="s">
        <v>316</v>
      </c>
      <c r="C24" s="21" t="s">
        <v>386</v>
      </c>
      <c r="D24" s="15" t="s">
        <v>383</v>
      </c>
      <c r="E24" s="21" t="s">
        <v>319</v>
      </c>
      <c r="F24" s="22" t="n">
        <v>11.96</v>
      </c>
      <c r="G24" s="22" t="n">
        <v>1.79</v>
      </c>
      <c r="H24" s="22" t="n">
        <v>13.75</v>
      </c>
      <c r="I24" s="21" t="s">
        <v>96</v>
      </c>
      <c r="J24" s="21"/>
      <c r="K24" s="21" t="s">
        <v>343</v>
      </c>
      <c r="L24" s="24" t="s">
        <v>84</v>
      </c>
      <c r="M24" s="15" t="s">
        <v>359</v>
      </c>
      <c r="N24" s="15" t="s">
        <v>380</v>
      </c>
      <c r="O24" s="21" t="s">
        <v>381</v>
      </c>
    </row>
    <row r="25" customFormat="false" ht="63.75" hidden="false" customHeight="true" outlineLevel="0" collapsed="false">
      <c r="A25" s="21" t="s">
        <v>144</v>
      </c>
      <c r="B25" s="21" t="s">
        <v>387</v>
      </c>
      <c r="C25" s="21" t="s">
        <v>388</v>
      </c>
      <c r="D25" s="15" t="s">
        <v>389</v>
      </c>
      <c r="E25" s="21" t="s">
        <v>301</v>
      </c>
      <c r="F25" s="22" t="n">
        <v>1522</v>
      </c>
      <c r="G25" s="22" t="n">
        <v>228.3</v>
      </c>
      <c r="H25" s="22" t="n">
        <v>1750.3</v>
      </c>
      <c r="I25" s="21" t="s">
        <v>96</v>
      </c>
      <c r="J25" s="21"/>
      <c r="K25" s="21" t="s">
        <v>144</v>
      </c>
      <c r="L25" s="24" t="s">
        <v>84</v>
      </c>
      <c r="M25" s="15" t="s">
        <v>390</v>
      </c>
      <c r="N25" s="15" t="s">
        <v>391</v>
      </c>
      <c r="O25" s="21" t="s">
        <v>392</v>
      </c>
    </row>
    <row r="26" customFormat="false" ht="63.75" hidden="false" customHeight="true" outlineLevel="0" collapsed="false">
      <c r="A26" s="21" t="s">
        <v>144</v>
      </c>
      <c r="B26" s="21" t="s">
        <v>393</v>
      </c>
      <c r="C26" s="21" t="s">
        <v>394</v>
      </c>
      <c r="D26" s="15" t="s">
        <v>395</v>
      </c>
      <c r="E26" s="21" t="s">
        <v>396</v>
      </c>
      <c r="F26" s="22" t="n">
        <v>340</v>
      </c>
      <c r="G26" s="22" t="n">
        <v>51</v>
      </c>
      <c r="H26" s="22" t="n">
        <v>391</v>
      </c>
      <c r="I26" s="21" t="s">
        <v>96</v>
      </c>
      <c r="J26" s="21"/>
      <c r="K26" s="21"/>
      <c r="L26" s="21" t="s">
        <v>397</v>
      </c>
      <c r="M26" s="15" t="s">
        <v>398</v>
      </c>
      <c r="N26" s="15" t="s">
        <v>399</v>
      </c>
      <c r="O26" s="21" t="s">
        <v>400</v>
      </c>
    </row>
    <row r="27" customFormat="false" ht="53.25" hidden="false" customHeight="true" outlineLevel="0" collapsed="false">
      <c r="A27" s="21" t="s">
        <v>401</v>
      </c>
      <c r="B27" s="21" t="s">
        <v>298</v>
      </c>
      <c r="C27" s="21" t="s">
        <v>402</v>
      </c>
      <c r="D27" s="15" t="s">
        <v>403</v>
      </c>
      <c r="E27" s="21" t="s">
        <v>329</v>
      </c>
      <c r="F27" s="22" t="n">
        <v>34.55</v>
      </c>
      <c r="G27" s="22" t="n">
        <v>5.18</v>
      </c>
      <c r="H27" s="22" t="n">
        <v>39.73</v>
      </c>
      <c r="I27" s="21" t="s">
        <v>96</v>
      </c>
      <c r="J27" s="21"/>
      <c r="K27" s="21" t="s">
        <v>404</v>
      </c>
      <c r="L27" s="24" t="s">
        <v>84</v>
      </c>
      <c r="M27" s="15" t="s">
        <v>405</v>
      </c>
      <c r="N27" s="15" t="s">
        <v>406</v>
      </c>
      <c r="O27" s="21" t="s">
        <v>407</v>
      </c>
    </row>
    <row r="28" customFormat="false" ht="53.25" hidden="false" customHeight="true" outlineLevel="0" collapsed="false">
      <c r="A28" s="21" t="s">
        <v>401</v>
      </c>
      <c r="B28" s="21" t="s">
        <v>298</v>
      </c>
      <c r="C28" s="21" t="s">
        <v>408</v>
      </c>
      <c r="D28" s="15" t="s">
        <v>409</v>
      </c>
      <c r="E28" s="21" t="s">
        <v>301</v>
      </c>
      <c r="F28" s="22" t="n">
        <v>156.18</v>
      </c>
      <c r="G28" s="22" t="n">
        <v>23.43</v>
      </c>
      <c r="H28" s="22" t="n">
        <v>179.61</v>
      </c>
      <c r="I28" s="21" t="s">
        <v>96</v>
      </c>
      <c r="J28" s="21"/>
      <c r="K28" s="21" t="s">
        <v>404</v>
      </c>
      <c r="L28" s="24" t="s">
        <v>84</v>
      </c>
      <c r="M28" s="15" t="s">
        <v>405</v>
      </c>
      <c r="N28" s="15" t="s">
        <v>410</v>
      </c>
      <c r="O28" s="21" t="s">
        <v>411</v>
      </c>
    </row>
    <row r="29" customFormat="false" ht="53.25" hidden="false" customHeight="true" outlineLevel="0" collapsed="false">
      <c r="A29" s="21" t="s">
        <v>154</v>
      </c>
      <c r="B29" s="21" t="s">
        <v>316</v>
      </c>
      <c r="C29" s="21" t="s">
        <v>412</v>
      </c>
      <c r="D29" s="15" t="s">
        <v>413</v>
      </c>
      <c r="E29" s="21" t="s">
        <v>319</v>
      </c>
      <c r="F29" s="22" t="n">
        <v>33.76</v>
      </c>
      <c r="G29" s="22" t="n">
        <v>5.06</v>
      </c>
      <c r="H29" s="22" t="n">
        <v>38.82</v>
      </c>
      <c r="I29" s="21" t="s">
        <v>96</v>
      </c>
      <c r="J29" s="21"/>
      <c r="K29" s="21" t="s">
        <v>404</v>
      </c>
      <c r="L29" s="24" t="s">
        <v>84</v>
      </c>
      <c r="M29" s="15" t="s">
        <v>414</v>
      </c>
      <c r="N29" s="15" t="s">
        <v>321</v>
      </c>
      <c r="O29" s="21" t="s">
        <v>415</v>
      </c>
    </row>
    <row r="30" customFormat="false" ht="42.75" hidden="false" customHeight="true" outlineLevel="0" collapsed="false">
      <c r="A30" s="21" t="s">
        <v>154</v>
      </c>
      <c r="B30" s="21" t="s">
        <v>416</v>
      </c>
      <c r="C30" s="21" t="s">
        <v>417</v>
      </c>
      <c r="D30" s="15" t="s">
        <v>418</v>
      </c>
      <c r="E30" s="21" t="s">
        <v>301</v>
      </c>
      <c r="F30" s="22" t="n">
        <v>97.74</v>
      </c>
      <c r="G30" s="22" t="n">
        <v>14.67</v>
      </c>
      <c r="H30" s="22" t="n">
        <v>112.41</v>
      </c>
      <c r="I30" s="21" t="s">
        <v>96</v>
      </c>
      <c r="J30" s="21"/>
      <c r="K30" s="21" t="s">
        <v>154</v>
      </c>
      <c r="L30" s="24" t="s">
        <v>84</v>
      </c>
      <c r="M30" s="15" t="s">
        <v>419</v>
      </c>
      <c r="N30" s="15" t="s">
        <v>420</v>
      </c>
      <c r="O30" s="21" t="s">
        <v>421</v>
      </c>
    </row>
    <row r="31" customFormat="false" ht="74.25" hidden="false" customHeight="true" outlineLevel="0" collapsed="false">
      <c r="A31" s="21" t="s">
        <v>422</v>
      </c>
      <c r="B31" s="21" t="s">
        <v>316</v>
      </c>
      <c r="C31" s="21" t="s">
        <v>423</v>
      </c>
      <c r="D31" s="15" t="s">
        <v>424</v>
      </c>
      <c r="E31" s="21" t="s">
        <v>319</v>
      </c>
      <c r="F31" s="22" t="n">
        <v>1263.97</v>
      </c>
      <c r="G31" s="22" t="n">
        <v>189.6</v>
      </c>
      <c r="H31" s="22" t="n">
        <v>1453.57</v>
      </c>
      <c r="I31" s="21" t="s">
        <v>96</v>
      </c>
      <c r="J31" s="21"/>
      <c r="K31" s="21"/>
      <c r="L31" s="23" t="s">
        <v>124</v>
      </c>
      <c r="M31" s="15" t="s">
        <v>425</v>
      </c>
      <c r="N31" s="15" t="s">
        <v>426</v>
      </c>
      <c r="O31" s="21" t="s">
        <v>427</v>
      </c>
    </row>
    <row r="32" customFormat="false" ht="53.25" hidden="false" customHeight="true" outlineLevel="0" collapsed="false">
      <c r="A32" s="21" t="s">
        <v>428</v>
      </c>
      <c r="B32" s="21" t="s">
        <v>316</v>
      </c>
      <c r="C32" s="21" t="s">
        <v>429</v>
      </c>
      <c r="D32" s="15" t="s">
        <v>430</v>
      </c>
      <c r="E32" s="21" t="s">
        <v>319</v>
      </c>
      <c r="F32" s="22" t="n">
        <v>84.14</v>
      </c>
      <c r="G32" s="22" t="n">
        <v>12.62</v>
      </c>
      <c r="H32" s="22" t="n">
        <v>96.76</v>
      </c>
      <c r="I32" s="21" t="s">
        <v>96</v>
      </c>
      <c r="J32" s="21"/>
      <c r="K32" s="21" t="s">
        <v>404</v>
      </c>
      <c r="L32" s="24" t="s">
        <v>84</v>
      </c>
      <c r="M32" s="15" t="s">
        <v>431</v>
      </c>
      <c r="N32" s="15" t="s">
        <v>432</v>
      </c>
      <c r="O32" s="21" t="s">
        <v>433</v>
      </c>
    </row>
    <row r="33" customFormat="false" ht="53.25" hidden="false" customHeight="true" outlineLevel="0" collapsed="false">
      <c r="A33" s="21" t="s">
        <v>428</v>
      </c>
      <c r="B33" s="21" t="s">
        <v>316</v>
      </c>
      <c r="C33" s="21" t="s">
        <v>434</v>
      </c>
      <c r="D33" s="15" t="s">
        <v>383</v>
      </c>
      <c r="E33" s="21" t="s">
        <v>319</v>
      </c>
      <c r="F33" s="22" t="n">
        <v>30.28</v>
      </c>
      <c r="G33" s="22" t="n">
        <v>4.54</v>
      </c>
      <c r="H33" s="22" t="n">
        <v>34.82</v>
      </c>
      <c r="I33" s="21" t="s">
        <v>96</v>
      </c>
      <c r="J33" s="21"/>
      <c r="K33" s="21" t="s">
        <v>404</v>
      </c>
      <c r="L33" s="24" t="s">
        <v>84</v>
      </c>
      <c r="M33" s="15" t="s">
        <v>431</v>
      </c>
      <c r="N33" s="15" t="s">
        <v>432</v>
      </c>
      <c r="O33" s="21" t="s">
        <v>433</v>
      </c>
    </row>
    <row r="34" customFormat="false" ht="53.25" hidden="false" customHeight="true" outlineLevel="0" collapsed="false">
      <c r="A34" s="21" t="s">
        <v>428</v>
      </c>
      <c r="B34" s="21" t="s">
        <v>316</v>
      </c>
      <c r="C34" s="21" t="s">
        <v>435</v>
      </c>
      <c r="D34" s="15" t="s">
        <v>383</v>
      </c>
      <c r="E34" s="21" t="s">
        <v>319</v>
      </c>
      <c r="F34" s="22" t="n">
        <v>27.75</v>
      </c>
      <c r="G34" s="22" t="n">
        <v>4.16</v>
      </c>
      <c r="H34" s="22" t="n">
        <v>31.91</v>
      </c>
      <c r="I34" s="21" t="s">
        <v>96</v>
      </c>
      <c r="J34" s="21"/>
      <c r="K34" s="21" t="s">
        <v>404</v>
      </c>
      <c r="L34" s="24" t="s">
        <v>84</v>
      </c>
      <c r="M34" s="15" t="s">
        <v>431</v>
      </c>
      <c r="N34" s="15" t="s">
        <v>432</v>
      </c>
      <c r="O34" s="21" t="s">
        <v>433</v>
      </c>
    </row>
    <row r="35" customFormat="false" ht="21.75" hidden="false" customHeight="true" outlineLevel="0" collapsed="false">
      <c r="A35" s="21" t="s">
        <v>436</v>
      </c>
      <c r="B35" s="21" t="s">
        <v>416</v>
      </c>
      <c r="C35" s="21" t="s">
        <v>437</v>
      </c>
      <c r="D35" s="15" t="s">
        <v>438</v>
      </c>
      <c r="E35" s="21" t="s">
        <v>301</v>
      </c>
      <c r="F35" s="22" t="n">
        <v>87</v>
      </c>
      <c r="G35" s="22" t="n">
        <v>13.05</v>
      </c>
      <c r="H35" s="22" t="n">
        <v>100.05</v>
      </c>
      <c r="I35" s="21" t="s">
        <v>96</v>
      </c>
      <c r="J35" s="21"/>
      <c r="K35" s="21" t="s">
        <v>436</v>
      </c>
      <c r="L35" s="24" t="s">
        <v>84</v>
      </c>
      <c r="M35" s="15" t="s">
        <v>439</v>
      </c>
      <c r="N35" s="15" t="s">
        <v>440</v>
      </c>
      <c r="O35" s="21" t="s">
        <v>441</v>
      </c>
    </row>
    <row r="36" customFormat="false" ht="53.25" hidden="false" customHeight="true" outlineLevel="0" collapsed="false">
      <c r="A36" s="21" t="s">
        <v>442</v>
      </c>
      <c r="B36" s="21" t="s">
        <v>298</v>
      </c>
      <c r="C36" s="21" t="s">
        <v>443</v>
      </c>
      <c r="D36" s="15" t="s">
        <v>444</v>
      </c>
      <c r="E36" s="21" t="s">
        <v>329</v>
      </c>
      <c r="F36" s="22" t="n">
        <v>89.1</v>
      </c>
      <c r="G36" s="22" t="n">
        <v>13.37</v>
      </c>
      <c r="H36" s="22" t="n">
        <v>102.47</v>
      </c>
      <c r="I36" s="21" t="s">
        <v>96</v>
      </c>
      <c r="J36" s="21"/>
      <c r="K36" s="21"/>
      <c r="L36" s="23" t="s">
        <v>124</v>
      </c>
      <c r="M36" s="15" t="s">
        <v>445</v>
      </c>
      <c r="N36" s="15" t="s">
        <v>446</v>
      </c>
      <c r="O36" s="21" t="s">
        <v>447</v>
      </c>
    </row>
    <row r="37" customFormat="false" ht="42.75" hidden="false" customHeight="true" outlineLevel="0" collapsed="false">
      <c r="A37" s="21" t="s">
        <v>442</v>
      </c>
      <c r="B37" s="21" t="s">
        <v>298</v>
      </c>
      <c r="C37" s="21" t="s">
        <v>448</v>
      </c>
      <c r="D37" s="15" t="s">
        <v>449</v>
      </c>
      <c r="E37" s="21" t="s">
        <v>329</v>
      </c>
      <c r="F37" s="22" t="n">
        <v>-89.1</v>
      </c>
      <c r="G37" s="22" t="n">
        <v>-13.37</v>
      </c>
      <c r="H37" s="22" t="n">
        <v>-102.47</v>
      </c>
      <c r="I37" s="21" t="s">
        <v>96</v>
      </c>
      <c r="J37" s="30" t="s">
        <v>96</v>
      </c>
      <c r="K37" s="21"/>
      <c r="L37" s="23" t="s">
        <v>124</v>
      </c>
      <c r="M37" s="15" t="s">
        <v>450</v>
      </c>
      <c r="N37" s="15" t="s">
        <v>451</v>
      </c>
      <c r="O37" s="21" t="s">
        <v>452</v>
      </c>
    </row>
    <row r="38" customFormat="false" ht="63.75" hidden="false" customHeight="true" outlineLevel="0" collapsed="false">
      <c r="A38" s="21" t="s">
        <v>453</v>
      </c>
      <c r="B38" s="21" t="s">
        <v>454</v>
      </c>
      <c r="C38" s="21" t="s">
        <v>455</v>
      </c>
      <c r="D38" s="15" t="s">
        <v>456</v>
      </c>
      <c r="E38" s="21" t="s">
        <v>457</v>
      </c>
      <c r="F38" s="22" t="n">
        <v>12.19</v>
      </c>
      <c r="G38" s="22" t="n">
        <v>1.83</v>
      </c>
      <c r="H38" s="22" t="n">
        <v>14.02</v>
      </c>
      <c r="I38" s="21" t="s">
        <v>96</v>
      </c>
      <c r="J38" s="21"/>
      <c r="K38" s="21" t="s">
        <v>458</v>
      </c>
      <c r="L38" s="21" t="s">
        <v>459</v>
      </c>
      <c r="M38" s="15" t="s">
        <v>460</v>
      </c>
      <c r="N38" s="15" t="s">
        <v>461</v>
      </c>
      <c r="O38" s="21" t="s">
        <v>462</v>
      </c>
    </row>
    <row r="39" customFormat="false" ht="63.75" hidden="false" customHeight="true" outlineLevel="0" collapsed="false">
      <c r="A39" s="21" t="s">
        <v>463</v>
      </c>
      <c r="B39" s="21" t="s">
        <v>316</v>
      </c>
      <c r="C39" s="21" t="s">
        <v>464</v>
      </c>
      <c r="D39" s="15" t="s">
        <v>424</v>
      </c>
      <c r="E39" s="21" t="s">
        <v>319</v>
      </c>
      <c r="F39" s="22" t="n">
        <v>1263.97</v>
      </c>
      <c r="G39" s="22" t="n">
        <v>189.6</v>
      </c>
      <c r="H39" s="22" t="n">
        <v>1453.57</v>
      </c>
      <c r="I39" s="21" t="s">
        <v>96</v>
      </c>
      <c r="J39" s="21"/>
      <c r="K39" s="21"/>
      <c r="L39" s="23" t="s">
        <v>124</v>
      </c>
      <c r="M39" s="15" t="s">
        <v>465</v>
      </c>
      <c r="N39" s="15" t="s">
        <v>466</v>
      </c>
      <c r="O39" s="21" t="s">
        <v>467</v>
      </c>
    </row>
    <row r="40" customFormat="false" ht="21.75" hidden="false" customHeight="true" outlineLevel="0" collapsed="false">
      <c r="A40" s="21" t="s">
        <v>184</v>
      </c>
      <c r="B40" s="21" t="s">
        <v>416</v>
      </c>
      <c r="C40" s="21" t="s">
        <v>468</v>
      </c>
      <c r="D40" s="15" t="s">
        <v>469</v>
      </c>
      <c r="E40" s="21" t="s">
        <v>301</v>
      </c>
      <c r="F40" s="22" t="n">
        <v>87.8</v>
      </c>
      <c r="G40" s="22" t="n">
        <v>13.17</v>
      </c>
      <c r="H40" s="22" t="n">
        <v>100.97</v>
      </c>
      <c r="I40" s="21" t="s">
        <v>96</v>
      </c>
      <c r="J40" s="21"/>
      <c r="K40" s="21" t="s">
        <v>184</v>
      </c>
      <c r="L40" s="24" t="s">
        <v>84</v>
      </c>
      <c r="M40" s="15" t="s">
        <v>439</v>
      </c>
      <c r="N40" s="15" t="s">
        <v>470</v>
      </c>
      <c r="O40" s="21" t="s">
        <v>471</v>
      </c>
    </row>
    <row r="41" customFormat="false" ht="53.25" hidden="false" customHeight="true" outlineLevel="0" collapsed="false">
      <c r="A41" s="21" t="s">
        <v>472</v>
      </c>
      <c r="B41" s="21" t="s">
        <v>298</v>
      </c>
      <c r="C41" s="21" t="s">
        <v>473</v>
      </c>
      <c r="D41" s="15" t="s">
        <v>474</v>
      </c>
      <c r="E41" s="21" t="s">
        <v>301</v>
      </c>
      <c r="F41" s="22" t="n">
        <v>413.49</v>
      </c>
      <c r="G41" s="22" t="n">
        <v>62.02</v>
      </c>
      <c r="H41" s="22" t="n">
        <v>475.51</v>
      </c>
      <c r="I41" s="21" t="s">
        <v>96</v>
      </c>
      <c r="J41" s="21"/>
      <c r="K41" s="21" t="s">
        <v>475</v>
      </c>
      <c r="L41" s="24" t="s">
        <v>84</v>
      </c>
      <c r="M41" s="15" t="s">
        <v>476</v>
      </c>
      <c r="N41" s="15" t="s">
        <v>477</v>
      </c>
      <c r="O41" s="21" t="s">
        <v>478</v>
      </c>
    </row>
    <row r="42" customFormat="false" ht="42.75" hidden="false" customHeight="true" outlineLevel="0" collapsed="false">
      <c r="A42" s="21" t="s">
        <v>479</v>
      </c>
      <c r="B42" s="21" t="s">
        <v>316</v>
      </c>
      <c r="C42" s="21" t="s">
        <v>480</v>
      </c>
      <c r="D42" s="15" t="s">
        <v>481</v>
      </c>
      <c r="E42" s="21" t="s">
        <v>319</v>
      </c>
      <c r="F42" s="22" t="n">
        <v>28.52</v>
      </c>
      <c r="G42" s="22" t="n">
        <v>4.28</v>
      </c>
      <c r="H42" s="22" t="n">
        <v>32.8</v>
      </c>
      <c r="I42" s="21" t="s">
        <v>96</v>
      </c>
      <c r="J42" s="21"/>
      <c r="K42" s="21" t="s">
        <v>475</v>
      </c>
      <c r="L42" s="24" t="s">
        <v>84</v>
      </c>
      <c r="M42" s="15" t="s">
        <v>482</v>
      </c>
      <c r="N42" s="15" t="s">
        <v>321</v>
      </c>
      <c r="O42" s="21" t="s">
        <v>483</v>
      </c>
    </row>
    <row r="43" customFormat="false" ht="32.25" hidden="false" customHeight="true" outlineLevel="0" collapsed="false">
      <c r="A43" s="21" t="s">
        <v>196</v>
      </c>
      <c r="B43" s="21" t="s">
        <v>316</v>
      </c>
      <c r="C43" s="21" t="s">
        <v>484</v>
      </c>
      <c r="D43" s="15" t="s">
        <v>485</v>
      </c>
      <c r="E43" s="21" t="s">
        <v>319</v>
      </c>
      <c r="F43" s="22" t="n">
        <v>268.65</v>
      </c>
      <c r="G43" s="22" t="n">
        <v>40.3</v>
      </c>
      <c r="H43" s="22" t="n">
        <v>308.95</v>
      </c>
      <c r="I43" s="21" t="s">
        <v>96</v>
      </c>
      <c r="J43" s="21"/>
      <c r="K43" s="21" t="s">
        <v>475</v>
      </c>
      <c r="L43" s="24" t="s">
        <v>84</v>
      </c>
      <c r="M43" s="15" t="s">
        <v>486</v>
      </c>
      <c r="N43" s="15" t="s">
        <v>321</v>
      </c>
      <c r="O43" s="21" t="s">
        <v>487</v>
      </c>
    </row>
    <row r="44" customFormat="false" ht="32.25" hidden="false" customHeight="true" outlineLevel="0" collapsed="false">
      <c r="A44" s="21" t="s">
        <v>488</v>
      </c>
      <c r="B44" s="21" t="s">
        <v>316</v>
      </c>
      <c r="C44" s="21" t="s">
        <v>489</v>
      </c>
      <c r="D44" s="15" t="s">
        <v>485</v>
      </c>
      <c r="E44" s="21" t="s">
        <v>319</v>
      </c>
      <c r="F44" s="22" t="n">
        <v>20.44</v>
      </c>
      <c r="G44" s="22" t="n">
        <v>3.07</v>
      </c>
      <c r="H44" s="22" t="n">
        <v>23.51</v>
      </c>
      <c r="I44" s="21" t="s">
        <v>96</v>
      </c>
      <c r="J44" s="21"/>
      <c r="K44" s="21" t="s">
        <v>475</v>
      </c>
      <c r="L44" s="24" t="s">
        <v>84</v>
      </c>
      <c r="M44" s="15" t="s">
        <v>486</v>
      </c>
      <c r="N44" s="15" t="s">
        <v>321</v>
      </c>
      <c r="O44" s="21" t="s">
        <v>490</v>
      </c>
    </row>
    <row r="45" customFormat="false" ht="42.75" hidden="false" customHeight="true" outlineLevel="0" collapsed="false">
      <c r="A45" s="21" t="s">
        <v>491</v>
      </c>
      <c r="B45" s="21" t="s">
        <v>454</v>
      </c>
      <c r="C45" s="21" t="s">
        <v>492</v>
      </c>
      <c r="D45" s="15" t="s">
        <v>493</v>
      </c>
      <c r="E45" s="21" t="s">
        <v>457</v>
      </c>
      <c r="F45" s="22" t="n">
        <v>15.75</v>
      </c>
      <c r="G45" s="22" t="n">
        <v>2.36</v>
      </c>
      <c r="H45" s="22" t="n">
        <v>18.11</v>
      </c>
      <c r="I45" s="21" t="s">
        <v>96</v>
      </c>
      <c r="J45" s="21"/>
      <c r="K45" s="21" t="s">
        <v>494</v>
      </c>
      <c r="L45" s="21" t="s">
        <v>459</v>
      </c>
      <c r="M45" s="15" t="s">
        <v>495</v>
      </c>
      <c r="N45" s="15" t="s">
        <v>496</v>
      </c>
      <c r="O45" s="21" t="s">
        <v>497</v>
      </c>
    </row>
    <row r="46" customFormat="false" ht="42.75" hidden="false" customHeight="true" outlineLevel="0" collapsed="false">
      <c r="A46" s="21" t="s">
        <v>498</v>
      </c>
      <c r="B46" s="21" t="s">
        <v>316</v>
      </c>
      <c r="C46" s="21" t="s">
        <v>499</v>
      </c>
      <c r="D46" s="15" t="s">
        <v>500</v>
      </c>
      <c r="E46" s="21" t="s">
        <v>319</v>
      </c>
      <c r="F46" s="22" t="n">
        <v>27.92</v>
      </c>
      <c r="G46" s="22" t="n">
        <v>4.19</v>
      </c>
      <c r="H46" s="22" t="n">
        <v>32.11</v>
      </c>
      <c r="I46" s="21" t="s">
        <v>96</v>
      </c>
      <c r="J46" s="21"/>
      <c r="K46" s="21" t="s">
        <v>501</v>
      </c>
      <c r="L46" s="24" t="s">
        <v>84</v>
      </c>
      <c r="M46" s="15" t="s">
        <v>502</v>
      </c>
      <c r="N46" s="15" t="s">
        <v>321</v>
      </c>
      <c r="O46" s="21" t="s">
        <v>503</v>
      </c>
    </row>
    <row r="47" customFormat="false" ht="53.25" hidden="false" customHeight="true" outlineLevel="0" collapsed="false">
      <c r="A47" s="21" t="s">
        <v>504</v>
      </c>
      <c r="B47" s="21" t="s">
        <v>298</v>
      </c>
      <c r="C47" s="21" t="s">
        <v>505</v>
      </c>
      <c r="D47" s="15" t="s">
        <v>506</v>
      </c>
      <c r="E47" s="21" t="s">
        <v>319</v>
      </c>
      <c r="F47" s="22" t="n">
        <v>511.3</v>
      </c>
      <c r="G47" s="22" t="n">
        <v>76.7</v>
      </c>
      <c r="H47" s="22" t="n">
        <v>588</v>
      </c>
      <c r="I47" s="21" t="s">
        <v>96</v>
      </c>
      <c r="J47" s="21"/>
      <c r="K47" s="21" t="s">
        <v>262</v>
      </c>
      <c r="L47" s="24" t="s">
        <v>84</v>
      </c>
      <c r="M47" s="15" t="s">
        <v>507</v>
      </c>
      <c r="N47" s="15" t="s">
        <v>508</v>
      </c>
      <c r="O47" s="21" t="s">
        <v>509</v>
      </c>
    </row>
    <row r="48" customFormat="false" ht="74.25" hidden="false" customHeight="true" outlineLevel="0" collapsed="false">
      <c r="A48" s="21" t="s">
        <v>504</v>
      </c>
      <c r="B48" s="21" t="s">
        <v>510</v>
      </c>
      <c r="C48" s="21" t="s">
        <v>511</v>
      </c>
      <c r="D48" s="15" t="s">
        <v>512</v>
      </c>
      <c r="E48" s="21" t="s">
        <v>513</v>
      </c>
      <c r="F48" s="22" t="n">
        <v>147.89</v>
      </c>
      <c r="G48" s="22" t="n">
        <v>22.19</v>
      </c>
      <c r="H48" s="22" t="n">
        <v>170.08</v>
      </c>
      <c r="I48" s="21" t="s">
        <v>96</v>
      </c>
      <c r="J48" s="21"/>
      <c r="K48" s="21" t="s">
        <v>498</v>
      </c>
      <c r="L48" s="21" t="s">
        <v>514</v>
      </c>
      <c r="M48" s="15" t="s">
        <v>515</v>
      </c>
      <c r="N48" s="15" t="s">
        <v>516</v>
      </c>
      <c r="O48" s="21" t="s">
        <v>517</v>
      </c>
    </row>
    <row r="49" customFormat="false" ht="32.25" hidden="false" customHeight="true" outlineLevel="0" collapsed="false">
      <c r="A49" s="21" t="s">
        <v>518</v>
      </c>
      <c r="B49" s="21" t="s">
        <v>316</v>
      </c>
      <c r="C49" s="21" t="s">
        <v>519</v>
      </c>
      <c r="D49" s="15" t="s">
        <v>318</v>
      </c>
      <c r="E49" s="21" t="s">
        <v>319</v>
      </c>
      <c r="F49" s="22" t="n">
        <v>95.34</v>
      </c>
      <c r="G49" s="22" t="n">
        <v>14.3</v>
      </c>
      <c r="H49" s="22" t="n">
        <v>109.64</v>
      </c>
      <c r="I49" s="21" t="s">
        <v>96</v>
      </c>
      <c r="J49" s="21"/>
      <c r="K49" s="21" t="s">
        <v>501</v>
      </c>
      <c r="L49" s="24" t="s">
        <v>84</v>
      </c>
      <c r="M49" s="15" t="s">
        <v>520</v>
      </c>
      <c r="N49" s="15" t="s">
        <v>321</v>
      </c>
      <c r="O49" s="21" t="s">
        <v>521</v>
      </c>
    </row>
    <row r="50" customFormat="false" ht="74.25" hidden="false" customHeight="true" outlineLevel="0" collapsed="false">
      <c r="A50" s="21" t="s">
        <v>522</v>
      </c>
      <c r="B50" s="21" t="s">
        <v>523</v>
      </c>
      <c r="C50" s="21" t="s">
        <v>524</v>
      </c>
      <c r="D50" s="15" t="s">
        <v>525</v>
      </c>
      <c r="E50" s="21" t="s">
        <v>319</v>
      </c>
      <c r="F50" s="22" t="n">
        <v>181.7</v>
      </c>
      <c r="G50" s="22" t="n">
        <v>27.26</v>
      </c>
      <c r="H50" s="22" t="n">
        <v>208.96</v>
      </c>
      <c r="I50" s="23" t="s">
        <v>82</v>
      </c>
      <c r="J50" s="21"/>
      <c r="K50" s="21"/>
      <c r="L50" s="23" t="s">
        <v>124</v>
      </c>
      <c r="M50" s="15" t="s">
        <v>526</v>
      </c>
      <c r="N50" s="15" t="s">
        <v>527</v>
      </c>
      <c r="O50" s="21" t="s">
        <v>528</v>
      </c>
    </row>
    <row r="51" customFormat="false" ht="63.75" hidden="false" customHeight="true" outlineLevel="0" collapsed="false">
      <c r="A51" s="21" t="s">
        <v>522</v>
      </c>
      <c r="B51" s="21" t="s">
        <v>523</v>
      </c>
      <c r="C51" s="21" t="s">
        <v>529</v>
      </c>
      <c r="D51" s="15" t="s">
        <v>383</v>
      </c>
      <c r="E51" s="21" t="s">
        <v>319</v>
      </c>
      <c r="F51" s="22" t="n">
        <v>52</v>
      </c>
      <c r="G51" s="22" t="n">
        <v>7.8</v>
      </c>
      <c r="H51" s="22" t="n">
        <v>59.8</v>
      </c>
      <c r="I51" s="23" t="s">
        <v>82</v>
      </c>
      <c r="J51" s="21"/>
      <c r="K51" s="21"/>
      <c r="L51" s="23" t="s">
        <v>124</v>
      </c>
      <c r="M51" s="15" t="s">
        <v>530</v>
      </c>
      <c r="N51" s="15" t="s">
        <v>531</v>
      </c>
      <c r="O51" s="21" t="s">
        <v>532</v>
      </c>
    </row>
    <row r="52" customFormat="false" ht="84.75" hidden="false" customHeight="true" outlineLevel="0" collapsed="false">
      <c r="A52" s="21" t="s">
        <v>522</v>
      </c>
      <c r="B52" s="21" t="s">
        <v>306</v>
      </c>
      <c r="C52" s="21" t="s">
        <v>533</v>
      </c>
      <c r="D52" s="15" t="s">
        <v>534</v>
      </c>
      <c r="E52" s="21" t="s">
        <v>309</v>
      </c>
      <c r="F52" s="22" t="n">
        <v>738.52</v>
      </c>
      <c r="G52" s="22" t="n">
        <v>110.78</v>
      </c>
      <c r="H52" s="22" t="n">
        <v>849.3</v>
      </c>
      <c r="I52" s="21" t="s">
        <v>96</v>
      </c>
      <c r="J52" s="21"/>
      <c r="K52" s="21" t="s">
        <v>535</v>
      </c>
      <c r="L52" s="21" t="s">
        <v>536</v>
      </c>
      <c r="M52" s="15" t="s">
        <v>537</v>
      </c>
      <c r="N52" s="15" t="s">
        <v>538</v>
      </c>
      <c r="O52" s="21" t="s">
        <v>539</v>
      </c>
    </row>
    <row r="53" customFormat="false" ht="53.25" hidden="false" customHeight="true" outlineLevel="0" collapsed="false">
      <c r="A53" s="21" t="s">
        <v>475</v>
      </c>
      <c r="B53" s="21" t="s">
        <v>316</v>
      </c>
      <c r="C53" s="21" t="s">
        <v>540</v>
      </c>
      <c r="D53" s="15" t="s">
        <v>318</v>
      </c>
      <c r="E53" s="21" t="s">
        <v>319</v>
      </c>
      <c r="F53" s="22" t="n">
        <v>53.95</v>
      </c>
      <c r="G53" s="22" t="n">
        <v>8.09</v>
      </c>
      <c r="H53" s="22" t="n">
        <v>62.04</v>
      </c>
      <c r="I53" s="21" t="s">
        <v>96</v>
      </c>
      <c r="J53" s="21"/>
      <c r="K53" s="21" t="s">
        <v>501</v>
      </c>
      <c r="L53" s="24" t="s">
        <v>84</v>
      </c>
      <c r="M53" s="15" t="s">
        <v>520</v>
      </c>
      <c r="N53" s="15" t="s">
        <v>541</v>
      </c>
      <c r="O53" s="21" t="s">
        <v>542</v>
      </c>
    </row>
    <row r="54" customFormat="false" ht="53.25" hidden="false" customHeight="true" outlineLevel="0" collapsed="false">
      <c r="A54" s="21" t="s">
        <v>475</v>
      </c>
      <c r="B54" s="21" t="s">
        <v>316</v>
      </c>
      <c r="C54" s="21" t="s">
        <v>543</v>
      </c>
      <c r="D54" s="15" t="s">
        <v>544</v>
      </c>
      <c r="E54" s="21" t="s">
        <v>319</v>
      </c>
      <c r="F54" s="22" t="n">
        <v>42.88</v>
      </c>
      <c r="G54" s="22" t="n">
        <v>6.43</v>
      </c>
      <c r="H54" s="22" t="n">
        <v>49.31</v>
      </c>
      <c r="I54" s="21" t="s">
        <v>96</v>
      </c>
      <c r="J54" s="21"/>
      <c r="K54" s="21" t="s">
        <v>501</v>
      </c>
      <c r="L54" s="24" t="s">
        <v>84</v>
      </c>
      <c r="M54" s="15" t="s">
        <v>520</v>
      </c>
      <c r="N54" s="15" t="s">
        <v>541</v>
      </c>
      <c r="O54" s="21" t="s">
        <v>542</v>
      </c>
    </row>
    <row r="55" customFormat="false" ht="53.25" hidden="false" customHeight="true" outlineLevel="0" collapsed="false">
      <c r="A55" s="21" t="s">
        <v>475</v>
      </c>
      <c r="B55" s="21" t="s">
        <v>316</v>
      </c>
      <c r="C55" s="21" t="s">
        <v>545</v>
      </c>
      <c r="D55" s="15" t="s">
        <v>546</v>
      </c>
      <c r="E55" s="21" t="s">
        <v>319</v>
      </c>
      <c r="F55" s="22" t="n">
        <v>51.83</v>
      </c>
      <c r="G55" s="22" t="n">
        <v>7.78</v>
      </c>
      <c r="H55" s="22" t="n">
        <v>59.61</v>
      </c>
      <c r="I55" s="21" t="s">
        <v>96</v>
      </c>
      <c r="J55" s="21"/>
      <c r="K55" s="21" t="s">
        <v>501</v>
      </c>
      <c r="L55" s="24" t="s">
        <v>84</v>
      </c>
      <c r="M55" s="15" t="s">
        <v>520</v>
      </c>
      <c r="N55" s="15" t="s">
        <v>541</v>
      </c>
      <c r="O55" s="21" t="s">
        <v>542</v>
      </c>
    </row>
    <row r="56" customFormat="false" ht="53.25" hidden="false" customHeight="true" outlineLevel="0" collapsed="false">
      <c r="A56" s="21" t="s">
        <v>475</v>
      </c>
      <c r="B56" s="21" t="s">
        <v>316</v>
      </c>
      <c r="C56" s="21" t="s">
        <v>547</v>
      </c>
      <c r="D56" s="15" t="s">
        <v>548</v>
      </c>
      <c r="E56" s="21" t="s">
        <v>319</v>
      </c>
      <c r="F56" s="22" t="n">
        <v>87.4</v>
      </c>
      <c r="G56" s="22" t="n">
        <v>13.11</v>
      </c>
      <c r="H56" s="22" t="n">
        <v>100.51</v>
      </c>
      <c r="I56" s="21" t="s">
        <v>96</v>
      </c>
      <c r="J56" s="21"/>
      <c r="K56" s="21" t="s">
        <v>501</v>
      </c>
      <c r="L56" s="24" t="s">
        <v>84</v>
      </c>
      <c r="M56" s="15" t="s">
        <v>520</v>
      </c>
      <c r="N56" s="15" t="s">
        <v>541</v>
      </c>
      <c r="O56" s="21" t="s">
        <v>542</v>
      </c>
    </row>
    <row r="57" customFormat="false" ht="53.25" hidden="false" customHeight="true" outlineLevel="0" collapsed="false">
      <c r="A57" s="21" t="s">
        <v>475</v>
      </c>
      <c r="B57" s="21" t="s">
        <v>316</v>
      </c>
      <c r="C57" s="21" t="s">
        <v>549</v>
      </c>
      <c r="D57" s="15" t="s">
        <v>318</v>
      </c>
      <c r="E57" s="21" t="s">
        <v>319</v>
      </c>
      <c r="F57" s="22" t="n">
        <v>15.99</v>
      </c>
      <c r="G57" s="22" t="n">
        <v>2.4</v>
      </c>
      <c r="H57" s="22" t="n">
        <v>18.39</v>
      </c>
      <c r="I57" s="21" t="s">
        <v>96</v>
      </c>
      <c r="J57" s="21"/>
      <c r="K57" s="21" t="s">
        <v>501</v>
      </c>
      <c r="L57" s="24" t="s">
        <v>84</v>
      </c>
      <c r="M57" s="15" t="s">
        <v>520</v>
      </c>
      <c r="N57" s="15" t="s">
        <v>541</v>
      </c>
      <c r="O57" s="21" t="s">
        <v>542</v>
      </c>
    </row>
    <row r="58" customFormat="false" ht="32.25" hidden="false" customHeight="true" outlineLevel="0" collapsed="false">
      <c r="A58" s="21" t="s">
        <v>475</v>
      </c>
      <c r="B58" s="21" t="s">
        <v>416</v>
      </c>
      <c r="C58" s="21" t="s">
        <v>550</v>
      </c>
      <c r="D58" s="15" t="s">
        <v>551</v>
      </c>
      <c r="E58" s="21" t="s">
        <v>301</v>
      </c>
      <c r="F58" s="22" t="n">
        <v>101.04</v>
      </c>
      <c r="G58" s="22" t="n">
        <v>15.16</v>
      </c>
      <c r="H58" s="22" t="n">
        <v>116.2</v>
      </c>
      <c r="I58" s="21" t="s">
        <v>96</v>
      </c>
      <c r="J58" s="21"/>
      <c r="K58" s="21" t="s">
        <v>475</v>
      </c>
      <c r="L58" s="24" t="s">
        <v>84</v>
      </c>
      <c r="M58" s="15" t="s">
        <v>439</v>
      </c>
      <c r="N58" s="15" t="s">
        <v>552</v>
      </c>
      <c r="O58" s="21" t="s">
        <v>553</v>
      </c>
    </row>
    <row r="59" customFormat="false" ht="74.25" hidden="false" customHeight="true" outlineLevel="0" collapsed="false">
      <c r="A59" s="21" t="s">
        <v>554</v>
      </c>
      <c r="B59" s="21" t="s">
        <v>555</v>
      </c>
      <c r="C59" s="21" t="s">
        <v>556</v>
      </c>
      <c r="D59" s="15" t="s">
        <v>557</v>
      </c>
      <c r="E59" s="21" t="s">
        <v>558</v>
      </c>
      <c r="F59" s="22" t="n">
        <v>435</v>
      </c>
      <c r="G59" s="22" t="n">
        <v>65.25</v>
      </c>
      <c r="H59" s="22" t="n">
        <v>500.25</v>
      </c>
      <c r="I59" s="21" t="s">
        <v>96</v>
      </c>
      <c r="J59" s="21"/>
      <c r="K59" s="21"/>
      <c r="L59" s="23" t="s">
        <v>124</v>
      </c>
      <c r="M59" s="15" t="s">
        <v>559</v>
      </c>
      <c r="N59" s="15" t="s">
        <v>560</v>
      </c>
      <c r="O59" s="21" t="s">
        <v>561</v>
      </c>
    </row>
    <row r="60" customFormat="false" ht="53.25" hidden="false" customHeight="true" outlineLevel="0" collapsed="false">
      <c r="A60" s="21" t="s">
        <v>562</v>
      </c>
      <c r="B60" s="21" t="s">
        <v>316</v>
      </c>
      <c r="C60" s="21" t="s">
        <v>563</v>
      </c>
      <c r="D60" s="15" t="s">
        <v>564</v>
      </c>
      <c r="E60" s="21" t="s">
        <v>319</v>
      </c>
      <c r="F60" s="22" t="n">
        <v>524.34</v>
      </c>
      <c r="G60" s="22" t="n">
        <v>78.65</v>
      </c>
      <c r="H60" s="22" t="n">
        <v>602.99</v>
      </c>
      <c r="I60" s="21" t="s">
        <v>96</v>
      </c>
      <c r="J60" s="21"/>
      <c r="K60" s="21" t="s">
        <v>501</v>
      </c>
      <c r="L60" s="24" t="s">
        <v>84</v>
      </c>
      <c r="M60" s="15" t="s">
        <v>520</v>
      </c>
      <c r="N60" s="15" t="s">
        <v>565</v>
      </c>
      <c r="O60" s="21" t="s">
        <v>566</v>
      </c>
    </row>
    <row r="61" customFormat="false" ht="53.25" hidden="false" customHeight="true" outlineLevel="0" collapsed="false">
      <c r="A61" s="21" t="s">
        <v>562</v>
      </c>
      <c r="B61" s="21" t="s">
        <v>316</v>
      </c>
      <c r="C61" s="21" t="s">
        <v>567</v>
      </c>
      <c r="D61" s="15" t="s">
        <v>568</v>
      </c>
      <c r="E61" s="21" t="s">
        <v>319</v>
      </c>
      <c r="F61" s="22" t="n">
        <v>109.85</v>
      </c>
      <c r="G61" s="22" t="n">
        <v>16.48</v>
      </c>
      <c r="H61" s="22" t="n">
        <v>126.33</v>
      </c>
      <c r="I61" s="21" t="s">
        <v>96</v>
      </c>
      <c r="J61" s="21"/>
      <c r="K61" s="21" t="s">
        <v>501</v>
      </c>
      <c r="L61" s="24" t="s">
        <v>84</v>
      </c>
      <c r="M61" s="15" t="s">
        <v>520</v>
      </c>
      <c r="N61" s="15" t="s">
        <v>565</v>
      </c>
      <c r="O61" s="21" t="s">
        <v>566</v>
      </c>
    </row>
    <row r="62" customFormat="false" ht="63.75" hidden="false" customHeight="true" outlineLevel="0" collapsed="false">
      <c r="A62" s="21" t="s">
        <v>569</v>
      </c>
      <c r="B62" s="21" t="s">
        <v>570</v>
      </c>
      <c r="C62" s="21" t="s">
        <v>571</v>
      </c>
      <c r="D62" s="15" t="s">
        <v>572</v>
      </c>
      <c r="E62" s="21" t="s">
        <v>558</v>
      </c>
      <c r="F62" s="22" t="n">
        <v>100</v>
      </c>
      <c r="G62" s="22" t="n">
        <v>15</v>
      </c>
      <c r="H62" s="22" t="n">
        <v>115</v>
      </c>
      <c r="I62" s="21" t="s">
        <v>96</v>
      </c>
      <c r="J62" s="21"/>
      <c r="K62" s="21"/>
      <c r="L62" s="23" t="s">
        <v>124</v>
      </c>
      <c r="M62" s="15" t="s">
        <v>573</v>
      </c>
      <c r="N62" s="15" t="s">
        <v>574</v>
      </c>
      <c r="O62" s="21" t="s">
        <v>575</v>
      </c>
    </row>
    <row r="63" customFormat="false" ht="53.25" hidden="false" customHeight="true" outlineLevel="0" collapsed="false">
      <c r="A63" s="21" t="s">
        <v>576</v>
      </c>
      <c r="B63" s="21" t="s">
        <v>316</v>
      </c>
      <c r="C63" s="21" t="s">
        <v>577</v>
      </c>
      <c r="D63" s="15" t="s">
        <v>578</v>
      </c>
      <c r="E63" s="21" t="s">
        <v>319</v>
      </c>
      <c r="F63" s="22" t="n">
        <v>225.62</v>
      </c>
      <c r="G63" s="22" t="n">
        <v>33.84</v>
      </c>
      <c r="H63" s="22" t="n">
        <v>259.46</v>
      </c>
      <c r="I63" s="21" t="s">
        <v>96</v>
      </c>
      <c r="J63" s="21"/>
      <c r="K63" s="21" t="s">
        <v>501</v>
      </c>
      <c r="L63" s="24" t="s">
        <v>84</v>
      </c>
      <c r="M63" s="15" t="s">
        <v>520</v>
      </c>
      <c r="N63" s="15" t="s">
        <v>579</v>
      </c>
      <c r="O63" s="21" t="s">
        <v>580</v>
      </c>
    </row>
    <row r="64" customFormat="false" ht="74.25" hidden="false" customHeight="true" outlineLevel="0" collapsed="false">
      <c r="A64" s="21" t="s">
        <v>581</v>
      </c>
      <c r="B64" s="21" t="s">
        <v>316</v>
      </c>
      <c r="C64" s="21" t="s">
        <v>582</v>
      </c>
      <c r="D64" s="15" t="s">
        <v>583</v>
      </c>
      <c r="E64" s="21" t="s">
        <v>319</v>
      </c>
      <c r="F64" s="22" t="n">
        <v>24.89</v>
      </c>
      <c r="G64" s="22" t="n">
        <v>3.73</v>
      </c>
      <c r="H64" s="22" t="n">
        <v>28.62</v>
      </c>
      <c r="I64" s="21" t="s">
        <v>96</v>
      </c>
      <c r="J64" s="21"/>
      <c r="K64" s="21" t="s">
        <v>501</v>
      </c>
      <c r="L64" s="24" t="s">
        <v>84</v>
      </c>
      <c r="M64" s="15" t="s">
        <v>520</v>
      </c>
      <c r="N64" s="15" t="s">
        <v>584</v>
      </c>
      <c r="O64" s="21" t="s">
        <v>585</v>
      </c>
    </row>
    <row r="65" customFormat="false" ht="42.75" hidden="false" customHeight="true" outlineLevel="0" collapsed="false">
      <c r="A65" s="21" t="s">
        <v>586</v>
      </c>
      <c r="B65" s="21" t="s">
        <v>454</v>
      </c>
      <c r="C65" s="21" t="s">
        <v>587</v>
      </c>
      <c r="D65" s="15" t="s">
        <v>588</v>
      </c>
      <c r="E65" s="21" t="s">
        <v>457</v>
      </c>
      <c r="F65" s="22" t="n">
        <v>15.75</v>
      </c>
      <c r="G65" s="22" t="n">
        <v>2.36</v>
      </c>
      <c r="H65" s="22" t="n">
        <v>18.11</v>
      </c>
      <c r="I65" s="21" t="s">
        <v>96</v>
      </c>
      <c r="J65" s="21"/>
      <c r="K65" s="21" t="s">
        <v>589</v>
      </c>
      <c r="L65" s="21" t="s">
        <v>459</v>
      </c>
      <c r="M65" s="15" t="s">
        <v>495</v>
      </c>
      <c r="N65" s="15"/>
      <c r="O65" s="21" t="s">
        <v>590</v>
      </c>
    </row>
    <row r="66" customFormat="false" ht="53.25" hidden="false" customHeight="true" outlineLevel="0" collapsed="false">
      <c r="A66" s="21" t="s">
        <v>591</v>
      </c>
      <c r="B66" s="21" t="s">
        <v>316</v>
      </c>
      <c r="C66" s="21" t="s">
        <v>592</v>
      </c>
      <c r="D66" s="15" t="s">
        <v>593</v>
      </c>
      <c r="E66" s="21" t="s">
        <v>319</v>
      </c>
      <c r="F66" s="22" t="n">
        <v>423.31</v>
      </c>
      <c r="G66" s="22" t="n">
        <v>63.5</v>
      </c>
      <c r="H66" s="22" t="n">
        <v>486.81</v>
      </c>
      <c r="I66" s="21" t="s">
        <v>96</v>
      </c>
      <c r="J66" s="21"/>
      <c r="K66" s="21" t="s">
        <v>594</v>
      </c>
      <c r="L66" s="24" t="s">
        <v>84</v>
      </c>
      <c r="M66" s="15" t="s">
        <v>595</v>
      </c>
      <c r="N66" s="15" t="s">
        <v>579</v>
      </c>
      <c r="O66" s="21" t="s">
        <v>596</v>
      </c>
    </row>
    <row r="67" customFormat="false" ht="53.25" hidden="false" customHeight="true" outlineLevel="0" collapsed="false">
      <c r="A67" s="21" t="s">
        <v>597</v>
      </c>
      <c r="B67" s="21" t="s">
        <v>316</v>
      </c>
      <c r="C67" s="21" t="s">
        <v>598</v>
      </c>
      <c r="D67" s="15" t="s">
        <v>578</v>
      </c>
      <c r="E67" s="21" t="s">
        <v>319</v>
      </c>
      <c r="F67" s="22" t="n">
        <v>10.18</v>
      </c>
      <c r="G67" s="22" t="n">
        <v>1.53</v>
      </c>
      <c r="H67" s="22" t="n">
        <v>11.71</v>
      </c>
      <c r="I67" s="21" t="s">
        <v>96</v>
      </c>
      <c r="J67" s="21"/>
      <c r="K67" s="21" t="s">
        <v>594</v>
      </c>
      <c r="L67" s="24" t="s">
        <v>84</v>
      </c>
      <c r="M67" s="15" t="s">
        <v>599</v>
      </c>
      <c r="N67" s="15" t="s">
        <v>579</v>
      </c>
      <c r="O67" s="21" t="s">
        <v>600</v>
      </c>
    </row>
    <row r="68" customFormat="false" ht="53.25" hidden="false" customHeight="true" outlineLevel="0" collapsed="false">
      <c r="A68" s="21" t="s">
        <v>238</v>
      </c>
      <c r="B68" s="21" t="s">
        <v>601</v>
      </c>
      <c r="C68" s="21" t="s">
        <v>602</v>
      </c>
      <c r="D68" s="15" t="s">
        <v>603</v>
      </c>
      <c r="E68" s="21" t="s">
        <v>457</v>
      </c>
      <c r="F68" s="22" t="n">
        <v>275</v>
      </c>
      <c r="G68" s="22" t="n">
        <v>41.25</v>
      </c>
      <c r="H68" s="22" t="n">
        <v>316.25</v>
      </c>
      <c r="I68" s="21" t="s">
        <v>96</v>
      </c>
      <c r="J68" s="21"/>
      <c r="K68" s="21"/>
      <c r="L68" s="21" t="s">
        <v>604</v>
      </c>
      <c r="M68" s="15" t="s">
        <v>605</v>
      </c>
      <c r="N68" s="15" t="s">
        <v>606</v>
      </c>
      <c r="O68" s="21" t="s">
        <v>607</v>
      </c>
    </row>
    <row r="69" customFormat="false" ht="84.75" hidden="false" customHeight="true" outlineLevel="0" collapsed="false">
      <c r="A69" s="21" t="s">
        <v>608</v>
      </c>
      <c r="B69" s="21" t="s">
        <v>609</v>
      </c>
      <c r="C69" s="21" t="s">
        <v>610</v>
      </c>
      <c r="D69" s="15" t="s">
        <v>611</v>
      </c>
      <c r="E69" s="21" t="s">
        <v>396</v>
      </c>
      <c r="F69" s="22" t="n">
        <v>858.89</v>
      </c>
      <c r="G69" s="22" t="n">
        <v>128.84</v>
      </c>
      <c r="H69" s="22" t="n">
        <v>987.73</v>
      </c>
      <c r="I69" s="21" t="s">
        <v>96</v>
      </c>
      <c r="J69" s="21"/>
      <c r="K69" s="21"/>
      <c r="L69" s="21" t="s">
        <v>612</v>
      </c>
      <c r="M69" s="15" t="s">
        <v>398</v>
      </c>
      <c r="N69" s="15" t="s">
        <v>613</v>
      </c>
      <c r="O69" s="21" t="s">
        <v>614</v>
      </c>
    </row>
    <row r="70" customFormat="false" ht="63.75" hidden="false" customHeight="true" outlineLevel="0" collapsed="false">
      <c r="A70" s="21" t="s">
        <v>615</v>
      </c>
      <c r="B70" s="21" t="s">
        <v>298</v>
      </c>
      <c r="C70" s="21" t="s">
        <v>616</v>
      </c>
      <c r="D70" s="15" t="s">
        <v>617</v>
      </c>
      <c r="E70" s="21" t="s">
        <v>319</v>
      </c>
      <c r="F70" s="22" t="n">
        <v>46.47</v>
      </c>
      <c r="G70" s="22" t="n">
        <v>6.97</v>
      </c>
      <c r="H70" s="22" t="n">
        <v>53.45</v>
      </c>
      <c r="I70" s="21" t="s">
        <v>96</v>
      </c>
      <c r="J70" s="21"/>
      <c r="K70" s="21" t="s">
        <v>594</v>
      </c>
      <c r="L70" s="24" t="s">
        <v>84</v>
      </c>
      <c r="M70" s="15" t="s">
        <v>618</v>
      </c>
      <c r="N70" s="15" t="s">
        <v>619</v>
      </c>
      <c r="O70" s="21" t="s">
        <v>620</v>
      </c>
    </row>
    <row r="71" customFormat="false" ht="74.25" hidden="false" customHeight="true" outlineLevel="0" collapsed="false">
      <c r="A71" s="21" t="s">
        <v>265</v>
      </c>
      <c r="B71" s="21" t="s">
        <v>523</v>
      </c>
      <c r="C71" s="21" t="s">
        <v>621</v>
      </c>
      <c r="D71" s="15" t="s">
        <v>622</v>
      </c>
      <c r="E71" s="21" t="s">
        <v>319</v>
      </c>
      <c r="F71" s="22" t="n">
        <v>102.09</v>
      </c>
      <c r="G71" s="22" t="n">
        <v>15.31</v>
      </c>
      <c r="H71" s="22" t="n">
        <v>117.4</v>
      </c>
      <c r="I71" s="21" t="s">
        <v>96</v>
      </c>
      <c r="J71" s="21"/>
      <c r="K71" s="21" t="s">
        <v>594</v>
      </c>
      <c r="L71" s="24" t="s">
        <v>84</v>
      </c>
      <c r="M71" s="15" t="s">
        <v>623</v>
      </c>
      <c r="N71" s="15" t="s">
        <v>624</v>
      </c>
      <c r="O71" s="21" t="s">
        <v>625</v>
      </c>
    </row>
    <row r="72" customFormat="false" ht="63.75" hidden="false" customHeight="true" outlineLevel="0" collapsed="false">
      <c r="A72" s="21" t="s">
        <v>626</v>
      </c>
      <c r="B72" s="21" t="s">
        <v>523</v>
      </c>
      <c r="C72" s="21" t="s">
        <v>627</v>
      </c>
      <c r="D72" s="15" t="s">
        <v>628</v>
      </c>
      <c r="E72" s="21" t="s">
        <v>319</v>
      </c>
      <c r="F72" s="22" t="n">
        <v>231.01</v>
      </c>
      <c r="G72" s="22" t="n">
        <v>34.65</v>
      </c>
      <c r="H72" s="22" t="n">
        <v>265.66</v>
      </c>
      <c r="I72" s="21" t="s">
        <v>96</v>
      </c>
      <c r="J72" s="21"/>
      <c r="K72" s="21" t="s">
        <v>594</v>
      </c>
      <c r="L72" s="24" t="s">
        <v>84</v>
      </c>
      <c r="M72" s="15" t="s">
        <v>623</v>
      </c>
      <c r="N72" s="15" t="s">
        <v>629</v>
      </c>
      <c r="O72" s="21" t="s">
        <v>630</v>
      </c>
    </row>
    <row r="73" customFormat="false" ht="63.75" hidden="false" customHeight="true" outlineLevel="0" collapsed="false">
      <c r="A73" s="21" t="s">
        <v>631</v>
      </c>
      <c r="B73" s="21" t="s">
        <v>523</v>
      </c>
      <c r="C73" s="21" t="s">
        <v>632</v>
      </c>
      <c r="D73" s="15" t="s">
        <v>633</v>
      </c>
      <c r="E73" s="21" t="s">
        <v>319</v>
      </c>
      <c r="F73" s="22" t="n">
        <v>93.02</v>
      </c>
      <c r="G73" s="22" t="n">
        <v>13.95</v>
      </c>
      <c r="H73" s="22" t="n">
        <v>106.97</v>
      </c>
      <c r="I73" s="21" t="s">
        <v>96</v>
      </c>
      <c r="J73" s="21"/>
      <c r="K73" s="21" t="s">
        <v>594</v>
      </c>
      <c r="L73" s="24" t="s">
        <v>84</v>
      </c>
      <c r="M73" s="15" t="s">
        <v>623</v>
      </c>
      <c r="N73" s="15" t="s">
        <v>634</v>
      </c>
      <c r="O73" s="21" t="s">
        <v>635</v>
      </c>
    </row>
    <row r="74" customFormat="false" ht="53.25" hidden="false" customHeight="true" outlineLevel="0" collapsed="false">
      <c r="A74" s="21" t="s">
        <v>631</v>
      </c>
      <c r="B74" s="21" t="s">
        <v>298</v>
      </c>
      <c r="C74" s="21" t="s">
        <v>636</v>
      </c>
      <c r="D74" s="15" t="s">
        <v>637</v>
      </c>
      <c r="E74" s="21" t="s">
        <v>638</v>
      </c>
      <c r="F74" s="22" t="n">
        <v>256.04</v>
      </c>
      <c r="G74" s="22" t="n">
        <v>38.41</v>
      </c>
      <c r="H74" s="22" t="n">
        <v>294.45</v>
      </c>
      <c r="I74" s="21" t="s">
        <v>96</v>
      </c>
      <c r="J74" s="21"/>
      <c r="K74" s="21" t="s">
        <v>594</v>
      </c>
      <c r="L74" s="24" t="s">
        <v>84</v>
      </c>
      <c r="M74" s="15" t="s">
        <v>618</v>
      </c>
      <c r="N74" s="15" t="s">
        <v>639</v>
      </c>
      <c r="O74" s="21" t="s">
        <v>640</v>
      </c>
    </row>
    <row r="75" customFormat="false" ht="63.75" hidden="false" customHeight="true" outlineLevel="0" collapsed="false">
      <c r="A75" s="21" t="s">
        <v>631</v>
      </c>
      <c r="B75" s="21" t="s">
        <v>454</v>
      </c>
      <c r="C75" s="21" t="s">
        <v>641</v>
      </c>
      <c r="D75" s="15" t="s">
        <v>642</v>
      </c>
      <c r="E75" s="21" t="s">
        <v>457</v>
      </c>
      <c r="F75" s="22" t="n">
        <v>19.78</v>
      </c>
      <c r="G75" s="22" t="n">
        <v>2.97</v>
      </c>
      <c r="H75" s="22" t="n">
        <v>22.75</v>
      </c>
      <c r="I75" s="21" t="s">
        <v>96</v>
      </c>
      <c r="J75" s="21"/>
      <c r="K75" s="21" t="s">
        <v>643</v>
      </c>
      <c r="L75" s="21" t="s">
        <v>459</v>
      </c>
      <c r="M75" s="15" t="s">
        <v>495</v>
      </c>
      <c r="N75" s="15" t="s">
        <v>644</v>
      </c>
      <c r="O75" s="21" t="s">
        <v>645</v>
      </c>
    </row>
    <row r="76" customFormat="false" ht="53.25" hidden="false" customHeight="true" outlineLevel="0" collapsed="false">
      <c r="A76" s="21" t="s">
        <v>646</v>
      </c>
      <c r="B76" s="21" t="s">
        <v>316</v>
      </c>
      <c r="C76" s="21" t="s">
        <v>647</v>
      </c>
      <c r="D76" s="15" t="s">
        <v>648</v>
      </c>
      <c r="E76" s="21" t="s">
        <v>319</v>
      </c>
      <c r="F76" s="22" t="n">
        <v>128.37</v>
      </c>
      <c r="G76" s="22" t="n">
        <v>19.25</v>
      </c>
      <c r="H76" s="22" t="n">
        <v>147.62</v>
      </c>
      <c r="I76" s="21" t="s">
        <v>96</v>
      </c>
      <c r="J76" s="21"/>
      <c r="K76" s="21"/>
      <c r="L76" s="31" t="s">
        <v>649</v>
      </c>
      <c r="M76" s="15" t="s">
        <v>650</v>
      </c>
      <c r="N76" s="15" t="s">
        <v>579</v>
      </c>
      <c r="O76" s="21" t="s">
        <v>651</v>
      </c>
    </row>
    <row r="77" customFormat="false" ht="53.25" hidden="false" customHeight="true" outlineLevel="0" collapsed="false">
      <c r="A77" s="21" t="s">
        <v>646</v>
      </c>
      <c r="B77" s="21" t="s">
        <v>523</v>
      </c>
      <c r="C77" s="21" t="s">
        <v>652</v>
      </c>
      <c r="D77" s="15" t="s">
        <v>653</v>
      </c>
      <c r="E77" s="21" t="s">
        <v>319</v>
      </c>
      <c r="F77" s="22" t="n">
        <v>315</v>
      </c>
      <c r="G77" s="22" t="n">
        <v>47.25</v>
      </c>
      <c r="H77" s="22" t="n">
        <v>362.25</v>
      </c>
      <c r="I77" s="21" t="s">
        <v>96</v>
      </c>
      <c r="J77" s="21"/>
      <c r="K77" s="21"/>
      <c r="L77" s="31" t="s">
        <v>649</v>
      </c>
      <c r="M77" s="15" t="s">
        <v>654</v>
      </c>
      <c r="N77" s="15" t="s">
        <v>655</v>
      </c>
      <c r="O77" s="21" t="s">
        <v>656</v>
      </c>
    </row>
    <row r="78" customFormat="false" ht="63.75" hidden="false" customHeight="true" outlineLevel="0" collapsed="false">
      <c r="A78" s="21" t="s">
        <v>657</v>
      </c>
      <c r="B78" s="21" t="s">
        <v>316</v>
      </c>
      <c r="C78" s="21" t="s">
        <v>658</v>
      </c>
      <c r="D78" s="15" t="s">
        <v>659</v>
      </c>
      <c r="E78" s="21" t="s">
        <v>319</v>
      </c>
      <c r="F78" s="22" t="n">
        <v>21.5</v>
      </c>
      <c r="G78" s="22" t="n">
        <v>3.23</v>
      </c>
      <c r="H78" s="22" t="n">
        <v>24.73</v>
      </c>
      <c r="I78" s="21" t="s">
        <v>96</v>
      </c>
      <c r="J78" s="21"/>
      <c r="K78" s="21"/>
      <c r="L78" s="31" t="s">
        <v>649</v>
      </c>
      <c r="M78" s="15" t="s">
        <v>650</v>
      </c>
      <c r="N78" s="15" t="s">
        <v>660</v>
      </c>
      <c r="O78" s="21" t="s">
        <v>661</v>
      </c>
    </row>
    <row r="79" customFormat="false" ht="53.25" hidden="false" customHeight="true" outlineLevel="0" collapsed="false">
      <c r="A79" s="21" t="s">
        <v>657</v>
      </c>
      <c r="B79" s="21" t="s">
        <v>523</v>
      </c>
      <c r="C79" s="21" t="s">
        <v>662</v>
      </c>
      <c r="D79" s="15" t="s">
        <v>653</v>
      </c>
      <c r="E79" s="21" t="s">
        <v>319</v>
      </c>
      <c r="F79" s="22" t="n">
        <v>128.92</v>
      </c>
      <c r="G79" s="22" t="n">
        <v>19.34</v>
      </c>
      <c r="H79" s="22" t="n">
        <v>148.26</v>
      </c>
      <c r="I79" s="21" t="s">
        <v>96</v>
      </c>
      <c r="J79" s="21"/>
      <c r="K79" s="21"/>
      <c r="L79" s="31" t="s">
        <v>649</v>
      </c>
      <c r="M79" s="15" t="s">
        <v>654</v>
      </c>
      <c r="N79" s="15" t="s">
        <v>663</v>
      </c>
      <c r="O79" s="21" t="s">
        <v>664</v>
      </c>
    </row>
    <row r="80" customFormat="false" ht="63.75" hidden="false" customHeight="true" outlineLevel="0" collapsed="false">
      <c r="A80" s="21" t="s">
        <v>594</v>
      </c>
      <c r="B80" s="21" t="s">
        <v>523</v>
      </c>
      <c r="C80" s="21" t="s">
        <v>665</v>
      </c>
      <c r="D80" s="15" t="s">
        <v>666</v>
      </c>
      <c r="E80" s="21" t="s">
        <v>319</v>
      </c>
      <c r="F80" s="22" t="n">
        <v>182.12</v>
      </c>
      <c r="G80" s="22" t="n">
        <v>27.32</v>
      </c>
      <c r="H80" s="22" t="n">
        <v>209.44</v>
      </c>
      <c r="I80" s="21" t="s">
        <v>96</v>
      </c>
      <c r="J80" s="21"/>
      <c r="K80" s="21"/>
      <c r="L80" s="31" t="s">
        <v>649</v>
      </c>
      <c r="M80" s="15" t="s">
        <v>654</v>
      </c>
      <c r="N80" s="15" t="s">
        <v>667</v>
      </c>
      <c r="O80" s="21" t="s">
        <v>668</v>
      </c>
    </row>
    <row r="82" customFormat="false" ht="15" hidden="false" customHeight="true" outlineLevel="0" collapsed="false">
      <c r="E82" s="6" t="s">
        <v>285</v>
      </c>
      <c r="F82" s="26" t="n">
        <f aca="false">SUM(F6:F80)</f>
        <v>15524.27</v>
      </c>
      <c r="G82" s="26" t="n">
        <f aca="false">SUM(G6:G80)</f>
        <v>2328.68</v>
      </c>
      <c r="H82" s="26" t="n">
        <f aca="false">SUM(H6:H80)</f>
        <v>17852.96</v>
      </c>
    </row>
    <row r="84" customFormat="false" ht="15" hidden="false" customHeight="true" outlineLevel="0" collapsed="false">
      <c r="B84" s="32" t="s">
        <v>669</v>
      </c>
    </row>
    <row r="85" customFormat="false" ht="15" hidden="false" customHeight="true" outlineLevel="0" collapsed="false">
      <c r="B85" s="33" t="s">
        <v>294</v>
      </c>
      <c r="F85" s="33" t="s">
        <v>670</v>
      </c>
      <c r="G85" s="33" t="s">
        <v>69</v>
      </c>
      <c r="H85" s="33" t="s">
        <v>671</v>
      </c>
    </row>
    <row r="86" customFormat="false" ht="15" hidden="false" customHeight="true" outlineLevel="0" collapsed="false">
      <c r="B86" s="34" t="s">
        <v>558</v>
      </c>
      <c r="F86" s="35" t="n">
        <f aca="false">SUMIF($E$6:$E$80,$B86,$F$6:$F$80)</f>
        <v>535</v>
      </c>
      <c r="G86" s="35" t="n">
        <f aca="false">SUMIF($E$6:$E$80,$B86,$G$6:$G$80)</f>
        <v>80.25</v>
      </c>
      <c r="H86" s="35" t="n">
        <f aca="false">SUMIF($E$6:$E$80,$B86,$H$6:$H$80)</f>
        <v>615.25</v>
      </c>
    </row>
    <row r="87" customFormat="false" ht="15" hidden="false" customHeight="true" outlineLevel="0" collapsed="false">
      <c r="B87" s="34" t="s">
        <v>329</v>
      </c>
      <c r="F87" s="35" t="n">
        <f aca="false">SUMIF($E$6:$E$80,$B87,$F$6:$F$80)</f>
        <v>196.48</v>
      </c>
      <c r="G87" s="35" t="n">
        <f aca="false">SUMIF($E$6:$E$80,$B87,$G$6:$G$80)</f>
        <v>29.48</v>
      </c>
      <c r="H87" s="35" t="n">
        <f aca="false">SUMIF($E$6:$E$80,$B87,$H$6:$H$80)</f>
        <v>225.96</v>
      </c>
    </row>
    <row r="88" customFormat="false" ht="15" hidden="false" customHeight="true" outlineLevel="0" collapsed="false">
      <c r="B88" s="34" t="s">
        <v>301</v>
      </c>
      <c r="F88" s="35" t="n">
        <f aca="false">SUMIF($E$6:$E$80,$B88,$F$6:$F$80)</f>
        <v>3508.03</v>
      </c>
      <c r="G88" s="35" t="n">
        <f aca="false">SUMIF($E$6:$E$80,$B88,$G$6:$G$80)</f>
        <v>526.22</v>
      </c>
      <c r="H88" s="35" t="n">
        <f aca="false">SUMIF($E$6:$E$80,$B88,$H$6:$H$80)</f>
        <v>4034.25</v>
      </c>
    </row>
    <row r="89" customFormat="false" ht="15" hidden="false" customHeight="true" outlineLevel="0" collapsed="false">
      <c r="B89" s="34" t="s">
        <v>513</v>
      </c>
      <c r="F89" s="35" t="n">
        <f aca="false">SUMIF($E$6:$E$80,$B89,$F$6:$F$80)</f>
        <v>147.89</v>
      </c>
      <c r="G89" s="35" t="n">
        <f aca="false">SUMIF($E$6:$E$80,$B89,$G$6:$G$80)</f>
        <v>22.19</v>
      </c>
      <c r="H89" s="35" t="n">
        <f aca="false">SUMIF($E$6:$E$80,$B89,$H$6:$H$80)</f>
        <v>170.08</v>
      </c>
    </row>
    <row r="90" customFormat="false" ht="15" hidden="false" customHeight="true" outlineLevel="0" collapsed="false">
      <c r="B90" s="34" t="s">
        <v>309</v>
      </c>
      <c r="F90" s="35" t="n">
        <f aca="false">SUMIF($E$6:$E$80,$B90,$F$6:$F$80)</f>
        <v>1462.54</v>
      </c>
      <c r="G90" s="35" t="n">
        <f aca="false">SUMIF($E$6:$E$80,$B90,$G$6:$G$80)</f>
        <v>219.38</v>
      </c>
      <c r="H90" s="35" t="n">
        <f aca="false">SUMIF($E$6:$E$80,$B90,$H$6:$H$80)</f>
        <v>1681.92</v>
      </c>
    </row>
    <row r="91" customFormat="false" ht="15" hidden="false" customHeight="true" outlineLevel="0" collapsed="false">
      <c r="B91" s="34" t="s">
        <v>319</v>
      </c>
      <c r="F91" s="35" t="n">
        <f aca="false">SUMIF($E$6:$E$80,$B91,$F$6:$F$80)</f>
        <v>7880.93</v>
      </c>
      <c r="G91" s="35" t="n">
        <f aca="false">SUMIF($E$6:$E$80,$B91,$G$6:$G$80)</f>
        <v>1182.14</v>
      </c>
      <c r="H91" s="35" t="n">
        <f aca="false">SUMIF($E$6:$E$80,$B91,$H$6:$H$80)</f>
        <v>9063.08</v>
      </c>
    </row>
    <row r="92" customFormat="false" ht="15" hidden="false" customHeight="true" outlineLevel="0" collapsed="false">
      <c r="B92" s="34" t="s">
        <v>457</v>
      </c>
      <c r="F92" s="35" t="n">
        <f aca="false">SUMIF($E$6:$E$80,$B92,$F$6:$F$80)</f>
        <v>338.47</v>
      </c>
      <c r="G92" s="35" t="n">
        <f aca="false">SUMIF($E$6:$E$80,$B92,$G$6:$G$80)</f>
        <v>50.77</v>
      </c>
      <c r="H92" s="35" t="n">
        <f aca="false">SUMIF($E$6:$E$80,$B92,$H$6:$H$80)</f>
        <v>389.24</v>
      </c>
    </row>
    <row r="93" customFormat="false" ht="15" hidden="false" customHeight="true" outlineLevel="0" collapsed="false">
      <c r="B93" s="34" t="s">
        <v>396</v>
      </c>
      <c r="F93" s="35" t="n">
        <f aca="false">SUMIF($E$6:$E$80,$B93,$F$6:$F$80)</f>
        <v>1198.89</v>
      </c>
      <c r="G93" s="35" t="n">
        <f aca="false">SUMIF($E$6:$E$80,$B93,$G$6:$G$80)</f>
        <v>179.84</v>
      </c>
      <c r="H93" s="35" t="n">
        <f aca="false">SUMIF($E$6:$E$80,$B93,$H$6:$H$80)</f>
        <v>1378.73</v>
      </c>
    </row>
    <row r="94" customFormat="false" ht="15" hidden="false" customHeight="true" outlineLevel="0" collapsed="false">
      <c r="B94" s="34" t="s">
        <v>638</v>
      </c>
      <c r="F94" s="35" t="n">
        <f aca="false">SUMIF($E$6:$E$80,$B94,$F$6:$F$80)</f>
        <v>256.04</v>
      </c>
      <c r="G94" s="35" t="n">
        <f aca="false">SUMIF($E$6:$E$80,$B94,$G$6:$G$80)</f>
        <v>38.41</v>
      </c>
      <c r="H94" s="35" t="n">
        <f aca="false">SUMIF($E$6:$E$80,$B94,$H$6:$H$80)</f>
        <v>294.45</v>
      </c>
    </row>
    <row r="95" customFormat="false" ht="15" hidden="false" customHeight="true" outlineLevel="0" collapsed="false">
      <c r="B95" s="18" t="s">
        <v>672</v>
      </c>
      <c r="F95" s="36" t="n">
        <f aca="false">SUM(F86:F94)</f>
        <v>15524.27</v>
      </c>
      <c r="G95" s="36" t="n">
        <f aca="false">SUM(G86:G94)</f>
        <v>2328.68</v>
      </c>
      <c r="H95" s="36" t="n">
        <f aca="false">SUM(H86:H94)</f>
        <v>17852.96</v>
      </c>
    </row>
  </sheetData>
  <autoFilter ref="A5:O80"/>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5"/>
    <col collapsed="false" customWidth="true" hidden="false" outlineLevel="0" max="2" min="2" style="1" width="11"/>
    <col collapsed="false" customWidth="true" hidden="false" outlineLevel="0" max="3" min="3" style="1" width="30"/>
    <col collapsed="false" customWidth="true" hidden="false" outlineLevel="0" max="5" min="4" style="1" width="26"/>
    <col collapsed="false" customWidth="true" hidden="false" outlineLevel="0" max="6" min="6" style="1" width="17"/>
    <col collapsed="false" customWidth="true" hidden="false" outlineLevel="0" max="7" min="7" style="1" width="72"/>
    <col collapsed="false" customWidth="true" hidden="false" outlineLevel="0" max="8" min="8" style="1" width="44"/>
  </cols>
  <sheetData>
    <row r="1" customFormat="false" ht="18" hidden="false" customHeight="true" outlineLevel="0" collapsed="false">
      <c r="A1" s="2" t="s">
        <v>673</v>
      </c>
      <c r="B1" s="2"/>
      <c r="C1" s="2"/>
      <c r="D1" s="2"/>
      <c r="E1" s="2"/>
      <c r="F1" s="2"/>
      <c r="G1" s="2"/>
    </row>
    <row r="2" customFormat="false" ht="15" hidden="false" customHeight="true" outlineLevel="0" collapsed="false">
      <c r="A2" s="3" t="s">
        <v>674</v>
      </c>
      <c r="B2" s="3"/>
      <c r="C2" s="3"/>
      <c r="D2" s="3"/>
      <c r="E2" s="3"/>
      <c r="F2" s="3"/>
      <c r="G2" s="3"/>
    </row>
    <row r="5" customFormat="false" ht="30" hidden="false" customHeight="true" outlineLevel="0" collapsed="false">
      <c r="A5" s="20" t="s">
        <v>675</v>
      </c>
      <c r="B5" s="20" t="s">
        <v>676</v>
      </c>
      <c r="C5" s="20" t="s">
        <v>677</v>
      </c>
      <c r="D5" s="20" t="s">
        <v>678</v>
      </c>
      <c r="E5" s="20" t="s">
        <v>67</v>
      </c>
      <c r="F5" s="20" t="s">
        <v>679</v>
      </c>
      <c r="G5" s="20" t="s">
        <v>680</v>
      </c>
      <c r="H5" s="20" t="s">
        <v>681</v>
      </c>
    </row>
    <row r="6" customFormat="false" ht="21.75" hidden="false" customHeight="true" outlineLevel="0" collapsed="false">
      <c r="A6" s="21" t="s">
        <v>101</v>
      </c>
      <c r="B6" s="30" t="s">
        <v>64</v>
      </c>
      <c r="C6" s="21" t="s">
        <v>79</v>
      </c>
      <c r="D6" s="15" t="s">
        <v>682</v>
      </c>
      <c r="E6" s="21" t="s">
        <v>683</v>
      </c>
      <c r="F6" s="37" t="n">
        <v>-345</v>
      </c>
      <c r="G6" s="15" t="s">
        <v>684</v>
      </c>
      <c r="H6" s="15" t="s">
        <v>685</v>
      </c>
    </row>
    <row r="7" customFormat="false" ht="21.75" hidden="false" customHeight="true" outlineLevel="0" collapsed="false">
      <c r="A7" s="21" t="s">
        <v>110</v>
      </c>
      <c r="B7" s="30" t="s">
        <v>64</v>
      </c>
      <c r="C7" s="21" t="s">
        <v>88</v>
      </c>
      <c r="D7" s="15" t="s">
        <v>686</v>
      </c>
      <c r="E7" s="21" t="s">
        <v>687</v>
      </c>
      <c r="F7" s="22" t="n">
        <v>0</v>
      </c>
      <c r="G7" s="15" t="s">
        <v>688</v>
      </c>
      <c r="H7" s="15" t="s">
        <v>689</v>
      </c>
    </row>
    <row r="8" customFormat="false" ht="32.25" hidden="false" customHeight="true" outlineLevel="0" collapsed="false">
      <c r="A8" s="21" t="s">
        <v>163</v>
      </c>
      <c r="B8" s="30" t="s">
        <v>64</v>
      </c>
      <c r="C8" s="21" t="s">
        <v>145</v>
      </c>
      <c r="D8" s="15" t="s">
        <v>690</v>
      </c>
      <c r="E8" s="21" t="s">
        <v>691</v>
      </c>
      <c r="F8" s="22" t="n">
        <v>138</v>
      </c>
      <c r="G8" s="15" t="s">
        <v>692</v>
      </c>
      <c r="H8" s="15" t="s">
        <v>685</v>
      </c>
    </row>
    <row r="9" customFormat="false" ht="63.75" hidden="false" customHeight="true" outlineLevel="0" collapsed="false">
      <c r="A9" s="21" t="s">
        <v>693</v>
      </c>
      <c r="B9" s="30" t="s">
        <v>64</v>
      </c>
      <c r="C9" s="21" t="s">
        <v>694</v>
      </c>
      <c r="D9" s="15" t="s">
        <v>695</v>
      </c>
      <c r="E9" s="21" t="s">
        <v>696</v>
      </c>
      <c r="F9" s="22" t="n">
        <v>2300</v>
      </c>
      <c r="G9" s="15" t="s">
        <v>697</v>
      </c>
      <c r="H9" s="15" t="s">
        <v>689</v>
      </c>
    </row>
    <row r="10" customFormat="false" ht="53.25" hidden="false" customHeight="true" outlineLevel="0" collapsed="false">
      <c r="A10" s="21" t="s">
        <v>475</v>
      </c>
      <c r="B10" s="30" t="s">
        <v>64</v>
      </c>
      <c r="C10" s="21" t="s">
        <v>216</v>
      </c>
      <c r="D10" s="15" t="s">
        <v>698</v>
      </c>
      <c r="E10" s="21" t="s">
        <v>699</v>
      </c>
      <c r="F10" s="37" t="n">
        <v>-5057.7</v>
      </c>
      <c r="G10" s="15" t="s">
        <v>700</v>
      </c>
      <c r="H10" s="15" t="s">
        <v>689</v>
      </c>
    </row>
    <row r="11" customFormat="false" ht="42.75" hidden="false" customHeight="true" outlineLevel="0" collapsed="false">
      <c r="A11" s="21" t="s">
        <v>225</v>
      </c>
      <c r="B11" s="30" t="s">
        <v>64</v>
      </c>
      <c r="C11" s="21" t="s">
        <v>192</v>
      </c>
      <c r="D11" s="15" t="s">
        <v>701</v>
      </c>
      <c r="E11" s="21" t="s">
        <v>702</v>
      </c>
      <c r="F11" s="37" t="n">
        <v>-921.15</v>
      </c>
      <c r="G11" s="15" t="s">
        <v>703</v>
      </c>
      <c r="H11" s="15" t="s">
        <v>689</v>
      </c>
    </row>
    <row r="12" customFormat="false" ht="63.75" hidden="false" customHeight="true" outlineLevel="0" collapsed="false">
      <c r="A12" s="21" t="s">
        <v>220</v>
      </c>
      <c r="B12" s="30" t="s">
        <v>64</v>
      </c>
      <c r="C12" s="21" t="s">
        <v>704</v>
      </c>
      <c r="D12" s="15" t="s">
        <v>705</v>
      </c>
      <c r="E12" s="21" t="s">
        <v>706</v>
      </c>
      <c r="F12" s="22"/>
      <c r="G12" s="15" t="s">
        <v>707</v>
      </c>
      <c r="H12" s="15" t="s">
        <v>689</v>
      </c>
    </row>
    <row r="13" customFormat="false" ht="32.25" hidden="false" customHeight="true" outlineLevel="0" collapsed="false">
      <c r="A13" s="21" t="s">
        <v>154</v>
      </c>
      <c r="B13" s="30" t="s">
        <v>64</v>
      </c>
      <c r="C13" s="21" t="s">
        <v>708</v>
      </c>
      <c r="D13" s="15" t="s">
        <v>709</v>
      </c>
      <c r="E13" s="21" t="s">
        <v>710</v>
      </c>
      <c r="F13" s="22"/>
      <c r="G13" s="15" t="s">
        <v>711</v>
      </c>
      <c r="H13" s="15" t="s">
        <v>689</v>
      </c>
    </row>
    <row r="14" customFormat="false" ht="84.75" hidden="false" customHeight="true" outlineLevel="0" collapsed="false">
      <c r="A14" s="21" t="s">
        <v>280</v>
      </c>
      <c r="B14" s="30" t="s">
        <v>64</v>
      </c>
      <c r="C14" s="21" t="s">
        <v>712</v>
      </c>
      <c r="D14" s="15" t="s">
        <v>713</v>
      </c>
      <c r="E14" s="21" t="s">
        <v>714</v>
      </c>
      <c r="F14" s="37" t="n">
        <v>-298.42</v>
      </c>
      <c r="G14" s="15" t="s">
        <v>715</v>
      </c>
      <c r="H14" s="15" t="s">
        <v>716</v>
      </c>
    </row>
    <row r="15" customFormat="false" ht="63.75" hidden="false" customHeight="true" outlineLevel="0" collapsed="false">
      <c r="A15" s="21" t="s">
        <v>717</v>
      </c>
      <c r="B15" s="30" t="s">
        <v>64</v>
      </c>
      <c r="C15" s="21" t="s">
        <v>244</v>
      </c>
      <c r="D15" s="15" t="s">
        <v>718</v>
      </c>
      <c r="E15" s="21" t="s">
        <v>719</v>
      </c>
      <c r="F15" s="22" t="n">
        <v>0</v>
      </c>
      <c r="G15" s="15" t="s">
        <v>720</v>
      </c>
      <c r="H15" s="15" t="s">
        <v>716</v>
      </c>
    </row>
    <row r="16" customFormat="false" ht="95.25" hidden="false" customHeight="true" outlineLevel="0" collapsed="false">
      <c r="A16" s="21" t="s">
        <v>721</v>
      </c>
      <c r="B16" s="30" t="s">
        <v>64</v>
      </c>
      <c r="C16" s="21" t="s">
        <v>216</v>
      </c>
      <c r="D16" s="15" t="s">
        <v>698</v>
      </c>
      <c r="E16" s="21" t="s">
        <v>699</v>
      </c>
      <c r="F16" s="37" t="n">
        <v>-5057.7</v>
      </c>
      <c r="G16" s="15" t="s">
        <v>722</v>
      </c>
      <c r="H16" s="15" t="s">
        <v>716</v>
      </c>
    </row>
    <row r="17" customFormat="false" ht="42.75" hidden="false" customHeight="true" outlineLevel="0" collapsed="false">
      <c r="A17" s="21" t="s">
        <v>225</v>
      </c>
      <c r="B17" s="30" t="s">
        <v>64</v>
      </c>
      <c r="C17" s="21" t="s">
        <v>192</v>
      </c>
      <c r="D17" s="15" t="s">
        <v>723</v>
      </c>
      <c r="E17" s="21" t="s">
        <v>724</v>
      </c>
      <c r="F17" s="37" t="n">
        <v>-921.15</v>
      </c>
      <c r="G17" s="15" t="s">
        <v>725</v>
      </c>
      <c r="H17" s="15" t="s">
        <v>716</v>
      </c>
    </row>
    <row r="18" customFormat="false" ht="63.75" hidden="false" customHeight="true" outlineLevel="0" collapsed="false">
      <c r="A18" s="21" t="s">
        <v>208</v>
      </c>
      <c r="B18" s="30" t="s">
        <v>64</v>
      </c>
      <c r="C18" s="21" t="s">
        <v>203</v>
      </c>
      <c r="D18" s="15" t="s">
        <v>726</v>
      </c>
      <c r="E18" s="21" t="s">
        <v>727</v>
      </c>
      <c r="F18" s="22" t="n">
        <v>0</v>
      </c>
      <c r="G18" s="15" t="s">
        <v>728</v>
      </c>
      <c r="H18" s="15" t="s">
        <v>716</v>
      </c>
    </row>
    <row r="19" customFormat="false" ht="95.25" hidden="false" customHeight="true" outlineLevel="0" collapsed="false">
      <c r="A19" s="21"/>
      <c r="B19" s="30" t="s">
        <v>64</v>
      </c>
      <c r="C19" s="21" t="s">
        <v>729</v>
      </c>
      <c r="D19" s="15"/>
      <c r="E19" s="21" t="s">
        <v>730</v>
      </c>
      <c r="F19" s="22" t="n">
        <v>0</v>
      </c>
      <c r="G19" s="15" t="s">
        <v>731</v>
      </c>
      <c r="H19" s="15" t="s">
        <v>716</v>
      </c>
    </row>
    <row r="20" customFormat="false" ht="32.25" hidden="false" customHeight="true" outlineLevel="0" collapsed="false">
      <c r="A20" s="21" t="s">
        <v>208</v>
      </c>
      <c r="B20" s="30" t="s">
        <v>64</v>
      </c>
      <c r="C20" s="21" t="s">
        <v>216</v>
      </c>
      <c r="D20" s="15" t="s">
        <v>698</v>
      </c>
      <c r="E20" s="21" t="s">
        <v>732</v>
      </c>
      <c r="F20" s="37" t="n">
        <v>-5057.7</v>
      </c>
      <c r="G20" s="15" t="s">
        <v>733</v>
      </c>
      <c r="H20" s="15" t="s">
        <v>734</v>
      </c>
    </row>
    <row r="21" customFormat="false" ht="21.75" hidden="false" customHeight="true" outlineLevel="0" collapsed="false">
      <c r="A21" s="21"/>
      <c r="B21" s="30" t="s">
        <v>64</v>
      </c>
      <c r="C21" s="21" t="s">
        <v>216</v>
      </c>
      <c r="D21" s="15" t="s">
        <v>735</v>
      </c>
      <c r="E21" s="21" t="s">
        <v>736</v>
      </c>
      <c r="F21" s="22"/>
      <c r="G21" s="15" t="s">
        <v>737</v>
      </c>
      <c r="H21" s="15" t="s">
        <v>738</v>
      </c>
    </row>
    <row r="22" customFormat="false" ht="21.75" hidden="false" customHeight="true" outlineLevel="0" collapsed="false">
      <c r="A22" s="21"/>
      <c r="B22" s="30" t="s">
        <v>64</v>
      </c>
      <c r="C22" s="21" t="s">
        <v>739</v>
      </c>
      <c r="D22" s="15" t="s">
        <v>740</v>
      </c>
      <c r="E22" s="21" t="s">
        <v>736</v>
      </c>
      <c r="F22" s="22"/>
      <c r="G22" s="15" t="s">
        <v>741</v>
      </c>
      <c r="H22" s="15" t="s">
        <v>738</v>
      </c>
    </row>
    <row r="23" customFormat="false" ht="53.25" hidden="false" customHeight="true" outlineLevel="0" collapsed="false">
      <c r="A23" s="21"/>
      <c r="B23" s="30" t="s">
        <v>64</v>
      </c>
      <c r="C23" s="21" t="s">
        <v>244</v>
      </c>
      <c r="D23" s="15" t="s">
        <v>742</v>
      </c>
      <c r="E23" s="21" t="s">
        <v>736</v>
      </c>
      <c r="F23" s="22"/>
      <c r="G23" s="15" t="s">
        <v>743</v>
      </c>
      <c r="H23" s="15" t="s">
        <v>738</v>
      </c>
    </row>
    <row r="24" customFormat="false" ht="21.75" hidden="false" customHeight="true" outlineLevel="0" collapsed="false">
      <c r="A24" s="21" t="s">
        <v>119</v>
      </c>
      <c r="B24" s="30" t="s">
        <v>64</v>
      </c>
      <c r="C24" s="21" t="s">
        <v>744</v>
      </c>
      <c r="D24" s="15"/>
      <c r="E24" s="21" t="s">
        <v>736</v>
      </c>
      <c r="F24" s="22"/>
      <c r="G24" s="15" t="s">
        <v>745</v>
      </c>
      <c r="H24" s="15" t="s">
        <v>746</v>
      </c>
    </row>
    <row r="25" customFormat="false" ht="15" hidden="false" customHeight="true" outlineLevel="0" collapsed="false">
      <c r="A25" s="21" t="s">
        <v>154</v>
      </c>
      <c r="B25" s="30" t="s">
        <v>64</v>
      </c>
      <c r="C25" s="21" t="s">
        <v>133</v>
      </c>
      <c r="D25" s="15"/>
      <c r="E25" s="21" t="s">
        <v>736</v>
      </c>
      <c r="F25" s="22"/>
      <c r="G25" s="15" t="s">
        <v>747</v>
      </c>
      <c r="H25" s="15" t="s">
        <v>746</v>
      </c>
    </row>
    <row r="26" customFormat="false" ht="15" hidden="false" customHeight="true" outlineLevel="0" collapsed="false">
      <c r="A26" s="21" t="s">
        <v>165</v>
      </c>
      <c r="B26" s="30" t="s">
        <v>64</v>
      </c>
      <c r="C26" s="21" t="s">
        <v>748</v>
      </c>
      <c r="D26" s="15"/>
      <c r="E26" s="21" t="s">
        <v>736</v>
      </c>
      <c r="F26" s="22"/>
      <c r="G26" s="15" t="s">
        <v>749</v>
      </c>
      <c r="H26" s="15" t="s">
        <v>746</v>
      </c>
    </row>
    <row r="27" customFormat="false" ht="21.75" hidden="false" customHeight="true" outlineLevel="0" collapsed="false">
      <c r="A27" s="21" t="s">
        <v>436</v>
      </c>
      <c r="B27" s="30" t="s">
        <v>64</v>
      </c>
      <c r="C27" s="21" t="s">
        <v>128</v>
      </c>
      <c r="D27" s="15"/>
      <c r="E27" s="21" t="s">
        <v>736</v>
      </c>
      <c r="F27" s="22"/>
      <c r="G27" s="15" t="s">
        <v>750</v>
      </c>
      <c r="H27" s="15" t="s">
        <v>746</v>
      </c>
    </row>
    <row r="28" customFormat="false" ht="15" hidden="false" customHeight="true" outlineLevel="0" collapsed="false">
      <c r="A28" s="21" t="s">
        <v>184</v>
      </c>
      <c r="B28" s="30" t="s">
        <v>64</v>
      </c>
      <c r="C28" s="21" t="s">
        <v>751</v>
      </c>
      <c r="D28" s="15"/>
      <c r="E28" s="21" t="s">
        <v>736</v>
      </c>
      <c r="F28" s="22"/>
      <c r="G28" s="15" t="s">
        <v>752</v>
      </c>
      <c r="H28" s="15" t="s">
        <v>746</v>
      </c>
    </row>
    <row r="29" customFormat="false" ht="21.75" hidden="false" customHeight="true" outlineLevel="0" collapsed="false">
      <c r="A29" s="21" t="s">
        <v>201</v>
      </c>
      <c r="B29" s="30" t="s">
        <v>64</v>
      </c>
      <c r="C29" s="21" t="s">
        <v>753</v>
      </c>
      <c r="D29" s="15"/>
      <c r="E29" s="21" t="s">
        <v>736</v>
      </c>
      <c r="F29" s="22"/>
      <c r="G29" s="15" t="s">
        <v>754</v>
      </c>
      <c r="H29" s="15" t="s">
        <v>746</v>
      </c>
    </row>
    <row r="30" customFormat="false" ht="53.25" hidden="false" customHeight="true" outlineLevel="0" collapsed="false">
      <c r="A30" s="21" t="s">
        <v>755</v>
      </c>
      <c r="B30" s="30" t="s">
        <v>64</v>
      </c>
      <c r="C30" s="21" t="s">
        <v>175</v>
      </c>
      <c r="D30" s="15"/>
      <c r="E30" s="21" t="s">
        <v>736</v>
      </c>
      <c r="F30" s="22"/>
      <c r="G30" s="15" t="s">
        <v>756</v>
      </c>
      <c r="H30" s="15" t="s">
        <v>746</v>
      </c>
    </row>
    <row r="31" customFormat="false" ht="21.75" hidden="false" customHeight="true" outlineLevel="0" collapsed="false">
      <c r="A31" s="21" t="s">
        <v>154</v>
      </c>
      <c r="B31" s="30" t="s">
        <v>64</v>
      </c>
      <c r="C31" s="21" t="s">
        <v>757</v>
      </c>
      <c r="D31" s="15"/>
      <c r="E31" s="21" t="s">
        <v>736</v>
      </c>
      <c r="F31" s="22"/>
      <c r="G31" s="15" t="s">
        <v>758</v>
      </c>
      <c r="H31" s="15" t="s">
        <v>746</v>
      </c>
    </row>
    <row r="32" customFormat="false" ht="21.75" hidden="false" customHeight="true" outlineLevel="0" collapsed="false">
      <c r="A32" s="21" t="s">
        <v>138</v>
      </c>
      <c r="B32" s="30" t="s">
        <v>64</v>
      </c>
      <c r="C32" s="21" t="s">
        <v>139</v>
      </c>
      <c r="D32" s="15"/>
      <c r="E32" s="21" t="s">
        <v>736</v>
      </c>
      <c r="F32" s="22"/>
      <c r="G32" s="15" t="s">
        <v>759</v>
      </c>
      <c r="H32" s="15" t="s">
        <v>746</v>
      </c>
    </row>
    <row r="33" customFormat="false" ht="63.75" hidden="false" customHeight="true" outlineLevel="0" collapsed="false">
      <c r="A33" s="21" t="s">
        <v>365</v>
      </c>
      <c r="B33" s="24" t="s">
        <v>292</v>
      </c>
      <c r="C33" s="21" t="s">
        <v>298</v>
      </c>
      <c r="D33" s="15"/>
      <c r="E33" s="21" t="s">
        <v>760</v>
      </c>
      <c r="F33" s="37" t="n">
        <v>-172.5</v>
      </c>
      <c r="G33" s="15" t="s">
        <v>761</v>
      </c>
      <c r="H33" s="15" t="s">
        <v>762</v>
      </c>
    </row>
    <row r="34" customFormat="false" ht="32.25" hidden="false" customHeight="true" outlineLevel="0" collapsed="false">
      <c r="A34" s="21" t="s">
        <v>442</v>
      </c>
      <c r="B34" s="24" t="s">
        <v>292</v>
      </c>
      <c r="C34" s="21" t="s">
        <v>298</v>
      </c>
      <c r="D34" s="15" t="s">
        <v>763</v>
      </c>
      <c r="E34" s="21" t="s">
        <v>760</v>
      </c>
      <c r="F34" s="37" t="n">
        <v>-102.47</v>
      </c>
      <c r="G34" s="15" t="s">
        <v>764</v>
      </c>
      <c r="H34" s="15" t="s">
        <v>762</v>
      </c>
    </row>
    <row r="35" customFormat="false" ht="32.25" hidden="false" customHeight="true" outlineLevel="0" collapsed="false">
      <c r="A35" s="31" t="s">
        <v>765</v>
      </c>
      <c r="B35" s="31" t="s">
        <v>292</v>
      </c>
      <c r="C35" s="31" t="s">
        <v>316</v>
      </c>
      <c r="D35" s="38" t="s">
        <v>766</v>
      </c>
      <c r="E35" s="31" t="s">
        <v>767</v>
      </c>
      <c r="F35" s="39" t="n">
        <v>-2907.14</v>
      </c>
      <c r="G35" s="38" t="s">
        <v>768</v>
      </c>
      <c r="H35" s="38" t="s">
        <v>769</v>
      </c>
    </row>
    <row r="37" customFormat="false" ht="15" hidden="false" customHeight="true" outlineLevel="0" collapsed="false">
      <c r="E37" s="18" t="s">
        <v>770</v>
      </c>
      <c r="F37" s="36" t="n">
        <f aca="false">SUM(F6:F35)</f>
        <v>-18402.93</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6"/>
    <col collapsed="false" customWidth="true" hidden="false" outlineLevel="0" max="3" min="3" style="1" width="60"/>
    <col collapsed="false" customWidth="true" hidden="false" outlineLevel="0" max="4" min="4" style="1" width="58"/>
    <col collapsed="false" customWidth="true" hidden="false" outlineLevel="0" max="5" min="5" style="1" width="40"/>
    <col collapsed="false" customWidth="true" hidden="false" outlineLevel="0" max="6" min="6" style="1" width="30"/>
  </cols>
  <sheetData>
    <row r="1" customFormat="false" ht="18" hidden="false" customHeight="true" outlineLevel="0" collapsed="false">
      <c r="A1" s="2" t="s">
        <v>771</v>
      </c>
      <c r="B1" s="2"/>
      <c r="C1" s="2"/>
      <c r="D1" s="2"/>
      <c r="E1" s="2"/>
      <c r="F1" s="2"/>
    </row>
    <row r="2" customFormat="false" ht="15" hidden="false" customHeight="true" outlineLevel="0" collapsed="false">
      <c r="A2" s="3" t="s">
        <v>772</v>
      </c>
      <c r="B2" s="3"/>
      <c r="C2" s="3"/>
      <c r="D2" s="3"/>
      <c r="E2" s="3"/>
      <c r="F2" s="3"/>
    </row>
    <row r="5" customFormat="false" ht="30" hidden="false" customHeight="true" outlineLevel="0" collapsed="false">
      <c r="A5" s="20" t="s">
        <v>773</v>
      </c>
      <c r="B5" s="20" t="s">
        <v>774</v>
      </c>
      <c r="C5" s="20" t="s">
        <v>775</v>
      </c>
      <c r="D5" s="20" t="s">
        <v>776</v>
      </c>
      <c r="E5" s="20" t="s">
        <v>777</v>
      </c>
      <c r="F5" s="20" t="s">
        <v>778</v>
      </c>
    </row>
    <row r="6" customFormat="false" ht="32.25" hidden="false" customHeight="true" outlineLevel="0" collapsed="false">
      <c r="A6" s="40" t="s">
        <v>779</v>
      </c>
      <c r="B6" s="21" t="s">
        <v>780</v>
      </c>
      <c r="C6" s="15" t="s">
        <v>781</v>
      </c>
      <c r="D6" s="15" t="s">
        <v>782</v>
      </c>
      <c r="E6" s="15" t="s">
        <v>783</v>
      </c>
      <c r="F6" s="15" t="s">
        <v>784</v>
      </c>
    </row>
    <row r="7" customFormat="false" ht="21.75" hidden="false" customHeight="true" outlineLevel="0" collapsed="false">
      <c r="A7" s="40" t="s">
        <v>779</v>
      </c>
      <c r="B7" s="21" t="s">
        <v>785</v>
      </c>
      <c r="C7" s="15" t="s">
        <v>786</v>
      </c>
      <c r="D7" s="15" t="s">
        <v>787</v>
      </c>
      <c r="E7" s="15" t="s">
        <v>788</v>
      </c>
      <c r="F7" s="15" t="s">
        <v>784</v>
      </c>
    </row>
    <row r="8" customFormat="false" ht="21.75" hidden="false" customHeight="true" outlineLevel="0" collapsed="false">
      <c r="A8" s="40" t="s">
        <v>779</v>
      </c>
      <c r="B8" s="21" t="s">
        <v>789</v>
      </c>
      <c r="C8" s="15" t="s">
        <v>790</v>
      </c>
      <c r="D8" s="15" t="s">
        <v>791</v>
      </c>
      <c r="E8" s="15" t="s">
        <v>792</v>
      </c>
      <c r="F8" s="15" t="s">
        <v>793</v>
      </c>
    </row>
    <row r="9" customFormat="false" ht="32.25" hidden="false" customHeight="true" outlineLevel="0" collapsed="false">
      <c r="A9" s="40" t="s">
        <v>779</v>
      </c>
      <c r="B9" s="21" t="s">
        <v>794</v>
      </c>
      <c r="C9" s="15" t="s">
        <v>795</v>
      </c>
      <c r="D9" s="15" t="s">
        <v>796</v>
      </c>
      <c r="E9" s="15" t="s">
        <v>797</v>
      </c>
      <c r="F9" s="15" t="s">
        <v>798</v>
      </c>
    </row>
    <row r="10" customFormat="false" ht="32.25" hidden="false" customHeight="true" outlineLevel="0" collapsed="false">
      <c r="A10" s="40" t="s">
        <v>779</v>
      </c>
      <c r="B10" s="21" t="s">
        <v>799</v>
      </c>
      <c r="C10" s="15" t="s">
        <v>800</v>
      </c>
      <c r="D10" s="15" t="s">
        <v>801</v>
      </c>
      <c r="E10" s="15" t="s">
        <v>802</v>
      </c>
      <c r="F10" s="15" t="s">
        <v>803</v>
      </c>
    </row>
    <row r="11" customFormat="false" ht="32.25" hidden="false" customHeight="true" outlineLevel="0" collapsed="false">
      <c r="A11" s="40" t="s">
        <v>779</v>
      </c>
      <c r="B11" s="21" t="s">
        <v>804</v>
      </c>
      <c r="C11" s="15" t="s">
        <v>805</v>
      </c>
      <c r="D11" s="15" t="s">
        <v>806</v>
      </c>
      <c r="E11" s="15" t="s">
        <v>807</v>
      </c>
      <c r="F11" s="15" t="s">
        <v>808</v>
      </c>
    </row>
    <row r="12" customFormat="false" ht="42.75" hidden="false" customHeight="true" outlineLevel="0" collapsed="false">
      <c r="A12" s="40" t="s">
        <v>779</v>
      </c>
      <c r="B12" s="21" t="s">
        <v>809</v>
      </c>
      <c r="C12" s="15" t="s">
        <v>810</v>
      </c>
      <c r="D12" s="15" t="s">
        <v>811</v>
      </c>
      <c r="E12" s="15" t="s">
        <v>812</v>
      </c>
      <c r="F12" s="15" t="s">
        <v>813</v>
      </c>
    </row>
    <row r="13" customFormat="false" ht="32.25" hidden="false" customHeight="true" outlineLevel="0" collapsed="false">
      <c r="A13" s="41" t="s">
        <v>814</v>
      </c>
      <c r="B13" s="21" t="s">
        <v>815</v>
      </c>
      <c r="C13" s="15" t="s">
        <v>816</v>
      </c>
      <c r="D13" s="15" t="s">
        <v>817</v>
      </c>
      <c r="E13" s="15" t="s">
        <v>818</v>
      </c>
      <c r="F13" s="15" t="s">
        <v>819</v>
      </c>
    </row>
    <row r="14" customFormat="false" ht="21.75" hidden="false" customHeight="true" outlineLevel="0" collapsed="false">
      <c r="A14" s="41" t="s">
        <v>814</v>
      </c>
      <c r="B14" s="21" t="s">
        <v>820</v>
      </c>
      <c r="C14" s="15" t="s">
        <v>821</v>
      </c>
      <c r="D14" s="15" t="s">
        <v>822</v>
      </c>
      <c r="E14" s="15" t="s">
        <v>823</v>
      </c>
      <c r="F14" s="15" t="s">
        <v>793</v>
      </c>
    </row>
    <row r="15" customFormat="false" ht="32.25" hidden="false" customHeight="true" outlineLevel="0" collapsed="false">
      <c r="A15" s="41" t="s">
        <v>814</v>
      </c>
      <c r="B15" s="21" t="s">
        <v>824</v>
      </c>
      <c r="C15" s="15" t="s">
        <v>825</v>
      </c>
      <c r="D15" s="15" t="s">
        <v>826</v>
      </c>
      <c r="E15" s="15" t="s">
        <v>827</v>
      </c>
      <c r="F15" s="15" t="s">
        <v>828</v>
      </c>
    </row>
    <row r="16" customFormat="false" ht="21.75" hidden="false" customHeight="true" outlineLevel="0" collapsed="false">
      <c r="A16" s="41" t="s">
        <v>814</v>
      </c>
      <c r="B16" s="21" t="s">
        <v>457</v>
      </c>
      <c r="C16" s="15" t="s">
        <v>829</v>
      </c>
      <c r="D16" s="15" t="s">
        <v>830</v>
      </c>
      <c r="E16" s="15" t="s">
        <v>831</v>
      </c>
      <c r="F16" s="15" t="s">
        <v>832</v>
      </c>
    </row>
    <row r="17" customFormat="false" ht="32.25" hidden="false" customHeight="true" outlineLevel="0" collapsed="false">
      <c r="A17" s="41" t="s">
        <v>814</v>
      </c>
      <c r="B17" s="21" t="s">
        <v>833</v>
      </c>
      <c r="C17" s="15" t="s">
        <v>834</v>
      </c>
      <c r="D17" s="15" t="s">
        <v>835</v>
      </c>
      <c r="E17" s="15" t="s">
        <v>836</v>
      </c>
      <c r="F17" s="15" t="s">
        <v>837</v>
      </c>
    </row>
    <row r="18" customFormat="false" ht="15" hidden="false" customHeight="true" outlineLevel="0" collapsed="false">
      <c r="A18" s="41" t="s">
        <v>814</v>
      </c>
      <c r="B18" s="21" t="s">
        <v>838</v>
      </c>
      <c r="C18" s="15" t="s">
        <v>839</v>
      </c>
      <c r="D18" s="15" t="s">
        <v>840</v>
      </c>
      <c r="E18" s="15" t="s">
        <v>841</v>
      </c>
      <c r="F18" s="15" t="s">
        <v>793</v>
      </c>
    </row>
    <row r="19" customFormat="false" ht="32.25" hidden="false" customHeight="true" outlineLevel="0" collapsed="false">
      <c r="A19" s="42" t="s">
        <v>842</v>
      </c>
      <c r="B19" s="21" t="s">
        <v>843</v>
      </c>
      <c r="C19" s="15" t="s">
        <v>844</v>
      </c>
      <c r="D19" s="15" t="s">
        <v>845</v>
      </c>
      <c r="E19" s="15" t="s">
        <v>846</v>
      </c>
      <c r="F19" s="15" t="s">
        <v>847</v>
      </c>
    </row>
    <row r="20" customFormat="false" ht="32.25" hidden="false" customHeight="true" outlineLevel="0" collapsed="false">
      <c r="A20" s="42" t="s">
        <v>842</v>
      </c>
      <c r="B20" s="21" t="s">
        <v>848</v>
      </c>
      <c r="C20" s="15" t="s">
        <v>849</v>
      </c>
      <c r="D20" s="15" t="s">
        <v>850</v>
      </c>
      <c r="E20" s="15" t="s">
        <v>851</v>
      </c>
      <c r="F20" s="15" t="s">
        <v>852</v>
      </c>
    </row>
    <row r="21" customFormat="false" ht="21.75" hidden="false" customHeight="true" outlineLevel="0" collapsed="false">
      <c r="A21" s="42" t="s">
        <v>842</v>
      </c>
      <c r="B21" s="21" t="s">
        <v>853</v>
      </c>
      <c r="C21" s="15" t="s">
        <v>854</v>
      </c>
      <c r="D21" s="15" t="s">
        <v>855</v>
      </c>
      <c r="E21" s="15" t="s">
        <v>856</v>
      </c>
      <c r="F21" s="15" t="s">
        <v>857</v>
      </c>
    </row>
    <row r="22" customFormat="false" ht="32.25" hidden="false" customHeight="true" outlineLevel="0" collapsed="false">
      <c r="A22" s="42" t="s">
        <v>842</v>
      </c>
      <c r="B22" s="21" t="s">
        <v>858</v>
      </c>
      <c r="C22" s="15" t="s">
        <v>859</v>
      </c>
      <c r="D22" s="15" t="s">
        <v>860</v>
      </c>
      <c r="E22" s="15" t="s">
        <v>861</v>
      </c>
      <c r="F22" s="15" t="s">
        <v>862</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22"/>
    <col collapsed="false" customWidth="true" hidden="false" outlineLevel="0" max="3" min="3" style="1" width="14"/>
    <col collapsed="false" customWidth="true" hidden="false" outlineLevel="0" max="4" min="4" style="1" width="16"/>
    <col collapsed="false" customWidth="true" hidden="false" outlineLevel="0" max="5" min="5" style="1" width="12"/>
    <col collapsed="false" customWidth="true" hidden="false" outlineLevel="0" max="6" min="6" style="1" width="80"/>
  </cols>
  <sheetData>
    <row r="1" customFormat="false" ht="18" hidden="false" customHeight="true" outlineLevel="0" collapsed="false">
      <c r="A1" s="2" t="s">
        <v>863</v>
      </c>
      <c r="B1" s="2"/>
      <c r="C1" s="2"/>
      <c r="D1" s="2"/>
      <c r="E1" s="2"/>
      <c r="F1" s="2"/>
    </row>
    <row r="2" customFormat="false" ht="15" hidden="false" customHeight="true" outlineLevel="0" collapsed="false">
      <c r="A2" s="3" t="s">
        <v>864</v>
      </c>
      <c r="B2" s="3"/>
      <c r="C2" s="3"/>
      <c r="D2" s="3"/>
      <c r="E2" s="3"/>
      <c r="F2" s="3"/>
    </row>
    <row r="5" customFormat="false" ht="30" hidden="false" customHeight="true" outlineLevel="0" collapsed="false">
      <c r="A5" s="20" t="s">
        <v>292</v>
      </c>
      <c r="B5" s="20" t="s">
        <v>865</v>
      </c>
      <c r="C5" s="20" t="s">
        <v>866</v>
      </c>
      <c r="D5" s="20" t="s">
        <v>867</v>
      </c>
      <c r="E5" s="20" t="s">
        <v>868</v>
      </c>
      <c r="F5" s="20" t="s">
        <v>297</v>
      </c>
    </row>
    <row r="6" customFormat="false" ht="21.75" hidden="false" customHeight="true" outlineLevel="0" collapsed="false">
      <c r="A6" s="21" t="s">
        <v>316</v>
      </c>
      <c r="B6" s="21" t="s">
        <v>869</v>
      </c>
      <c r="C6" s="21" t="s">
        <v>870</v>
      </c>
      <c r="D6" s="22" t="n">
        <v>216.85</v>
      </c>
      <c r="E6" s="22"/>
      <c r="F6" s="15" t="s">
        <v>871</v>
      </c>
    </row>
    <row r="7" customFormat="false" ht="21.75" hidden="false" customHeight="true" outlineLevel="0" collapsed="false">
      <c r="A7" s="21" t="s">
        <v>316</v>
      </c>
      <c r="B7" s="21" t="s">
        <v>872</v>
      </c>
      <c r="C7" s="21" t="s">
        <v>870</v>
      </c>
      <c r="D7" s="22" t="n">
        <v>1076.85</v>
      </c>
      <c r="E7" s="22"/>
      <c r="F7" s="15" t="s">
        <v>873</v>
      </c>
    </row>
    <row r="8" customFormat="false" ht="21.75" hidden="false" customHeight="true" outlineLevel="0" collapsed="false">
      <c r="A8" s="21" t="s">
        <v>316</v>
      </c>
      <c r="B8" s="21" t="s">
        <v>874</v>
      </c>
      <c r="C8" s="21" t="s">
        <v>870</v>
      </c>
      <c r="D8" s="22" t="n">
        <v>1655.88</v>
      </c>
      <c r="E8" s="22"/>
      <c r="F8" s="15" t="s">
        <v>875</v>
      </c>
    </row>
    <row r="9" customFormat="false" ht="32.25" hidden="false" customHeight="true" outlineLevel="0" collapsed="false">
      <c r="A9" s="21" t="s">
        <v>316</v>
      </c>
      <c r="B9" s="21" t="s">
        <v>876</v>
      </c>
      <c r="C9" s="21" t="s">
        <v>870</v>
      </c>
      <c r="D9" s="22" t="n">
        <v>365.26</v>
      </c>
      <c r="E9" s="22"/>
      <c r="F9" s="15" t="s">
        <v>877</v>
      </c>
    </row>
    <row r="10" customFormat="false" ht="21.75" hidden="false" customHeight="true" outlineLevel="0" collapsed="false">
      <c r="A10" s="21" t="s">
        <v>316</v>
      </c>
      <c r="B10" s="21" t="s">
        <v>878</v>
      </c>
      <c r="C10" s="21" t="s">
        <v>870</v>
      </c>
      <c r="D10" s="22" t="n">
        <v>1449.01</v>
      </c>
      <c r="E10" s="22"/>
      <c r="F10" s="15" t="s">
        <v>879</v>
      </c>
    </row>
    <row r="11" customFormat="false" ht="21.75" hidden="false" customHeight="true" outlineLevel="0" collapsed="false">
      <c r="A11" s="21" t="s">
        <v>316</v>
      </c>
      <c r="B11" s="21" t="s">
        <v>880</v>
      </c>
      <c r="C11" s="21" t="s">
        <v>870</v>
      </c>
      <c r="D11" s="22" t="n">
        <v>498.52</v>
      </c>
      <c r="E11" s="22"/>
      <c r="F11" s="15" t="s">
        <v>881</v>
      </c>
    </row>
    <row r="12" customFormat="false" ht="21.75" hidden="false" customHeight="true" outlineLevel="0" collapsed="false">
      <c r="A12" s="21" t="s">
        <v>316</v>
      </c>
      <c r="B12" s="21" t="s">
        <v>882</v>
      </c>
      <c r="C12" s="21" t="s">
        <v>870</v>
      </c>
      <c r="D12" s="22" t="n">
        <v>172.35</v>
      </c>
      <c r="E12" s="22"/>
      <c r="F12" s="15" t="s">
        <v>883</v>
      </c>
    </row>
    <row r="13" customFormat="false" ht="32.25" hidden="false" customHeight="true" outlineLevel="0" collapsed="false">
      <c r="A13" s="21" t="s">
        <v>298</v>
      </c>
      <c r="B13" s="21" t="s">
        <v>884</v>
      </c>
      <c r="C13" s="21"/>
      <c r="D13" s="22" t="n">
        <v>1201.86</v>
      </c>
      <c r="E13" s="22"/>
      <c r="F13" s="15" t="s">
        <v>885</v>
      </c>
    </row>
    <row r="14" customFormat="false" ht="21.75" hidden="false" customHeight="true" outlineLevel="0" collapsed="false">
      <c r="A14" s="21" t="s">
        <v>298</v>
      </c>
      <c r="B14" s="21" t="s">
        <v>886</v>
      </c>
      <c r="C14" s="21"/>
      <c r="D14" s="22" t="n">
        <v>238.17</v>
      </c>
      <c r="E14" s="22"/>
      <c r="F14" s="15" t="s">
        <v>887</v>
      </c>
    </row>
    <row r="15" customFormat="false" ht="21.75" hidden="false" customHeight="true" outlineLevel="0" collapsed="false">
      <c r="A15" s="21" t="s">
        <v>298</v>
      </c>
      <c r="B15" s="21" t="s">
        <v>453</v>
      </c>
      <c r="C15" s="21"/>
      <c r="D15" s="22" t="n">
        <v>219.34</v>
      </c>
      <c r="E15" s="22"/>
      <c r="F15" s="15" t="s">
        <v>888</v>
      </c>
    </row>
    <row r="16" customFormat="false" ht="21.75" hidden="false" customHeight="true" outlineLevel="0" collapsed="false">
      <c r="A16" s="21" t="s">
        <v>298</v>
      </c>
      <c r="B16" s="21" t="s">
        <v>491</v>
      </c>
      <c r="C16" s="21"/>
      <c r="D16" s="22" t="n">
        <v>475.51</v>
      </c>
      <c r="E16" s="22"/>
      <c r="F16" s="15" t="s">
        <v>889</v>
      </c>
    </row>
    <row r="17" customFormat="false" ht="21.75" hidden="false" customHeight="true" outlineLevel="0" collapsed="false">
      <c r="A17" s="21" t="s">
        <v>298</v>
      </c>
      <c r="B17" s="21" t="s">
        <v>586</v>
      </c>
      <c r="C17" s="21"/>
      <c r="D17" s="22" t="n">
        <v>588</v>
      </c>
      <c r="E17" s="22"/>
      <c r="F17" s="15" t="s">
        <v>890</v>
      </c>
    </row>
    <row r="18" customFormat="false" ht="32.25" hidden="false" customHeight="true" outlineLevel="0" collapsed="false">
      <c r="A18" s="21" t="s">
        <v>298</v>
      </c>
      <c r="B18" s="21" t="s">
        <v>631</v>
      </c>
      <c r="C18" s="21"/>
      <c r="D18" s="22" t="n">
        <v>935.9</v>
      </c>
      <c r="E18" s="22" t="n">
        <v>588</v>
      </c>
      <c r="F18" s="15" t="s">
        <v>891</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2026-08-24T04:27:17Z</dcterms:created>
  <dc:creator>openpyxl</dc:creator>
  <dc:description/>
  <dc:language>en-US</dc:language>
  <cp:lastModifiedBy/>
  <dcterms:modified xsi:type="dcterms:W3CDTF">2026-08-24T04:30:05Z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